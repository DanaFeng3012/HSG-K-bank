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 Instructions" sheetId="1" state="visible" r:id="rId1"/>
    <sheet name="差异需求追踪主表 Gap Tracking" sheetId="2" state="visible" r:id="rId2"/>
    <sheet name="模块总览 Module Overview" sheetId="3" state="visible" r:id="rId3"/>
    <sheet name="待确认问题清单 Open Issues" sheetId="4" state="visible" r:id="rId4"/>
    <sheet name="BA 分工 BA Assign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b val="1"/>
      <color rgb="001F2937"/>
      <sz val="11"/>
    </font>
    <font>
      <name val="Arial"/>
      <color rgb="001F2937"/>
      <sz val="10"/>
    </font>
    <font>
      <name val="Arial"/>
      <b val="1"/>
      <color rgb="00FFFFFF"/>
      <sz val="11"/>
    </font>
    <font>
      <name val="Arial"/>
      <b val="1"/>
      <color rgb="001F2937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EAF2FF"/>
      </patternFill>
    </fill>
  </fills>
  <borders count="3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 style="thin">
        <color rgb="00D9DEE7"/>
      </left>
      <right style="thin">
        <color rgb="00D9DEE7"/>
      </right>
      <top style="medium">
        <color rgb="00AAB4C5"/>
      </top>
      <bottom style="thin">
        <color rgb="00D9DE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0" fillId="4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5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name val="Arial"/>
        <b val="1"/>
        <color rgb="00991B1B"/>
        <sz val="10"/>
      </font>
      <fill>
        <patternFill patternType="solid">
          <fgColor rgb="00FEE2E2"/>
        </patternFill>
      </fill>
    </dxf>
    <dxf>
      <font>
        <name val="Arial"/>
        <b val="1"/>
        <color rgb="00166534"/>
        <sz val="10"/>
      </font>
      <fill>
        <patternFill patternType="solid">
          <fgColor rgb="00DCFCE7"/>
        </patternFill>
      </fill>
    </dxf>
    <dxf>
      <font>
        <name val="Arial"/>
        <b val="1"/>
        <color rgb="0092400E"/>
        <sz val="10"/>
      </font>
      <fill>
        <patternFill patternType="solid">
          <fgColor rgb="00FEF3C7"/>
        </patternFill>
      </fill>
    </dxf>
    <dxf>
      <font>
        <name val="Arial"/>
        <color rgb="006B7280"/>
        <sz val="10"/>
      </font>
      <fill>
        <patternFill patternType="solid">
          <fgColor rgb="00E5E7EB"/>
        </patternFill>
      </fill>
    </dxf>
    <dxf>
      <font>
        <name val="Arial"/>
        <b val="1"/>
        <color rgb="009A3412"/>
        <sz val="10"/>
      </font>
      <fill>
        <patternFill patternType="solid">
          <fgColor rgb="00FFED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Template</author>
  </authors>
  <commentList>
    <comment ref="A2" authorId="0" shapeId="0">
      <text>
        <t>唯一编号，格式 GR-###，按递增不重复使用</t>
      </text>
    </comment>
    <comment ref="E2" authorId="0" shapeId="0">
      <text>
        <t>基于合同 SOP/原型的需求基线描述</t>
      </text>
    </comment>
    <comment ref="F2" authorId="0" shapeId="0">
      <text>
        <t>行方在原型基础上提出的新增/调整期望</t>
      </text>
    </comment>
    <comment ref="M2" authorId="0" shapeId="0">
      <text>
        <t>当前阶段已与行方/内部确认的结论性内容</t>
      </text>
    </comment>
    <comment ref="N2" authorId="0" shapeId="0">
      <text>
        <t>当前仍未闭环、需行方/内部确认的问题点</t>
      </text>
    </comment>
    <comment ref="S2" authorId="0" shapeId="0">
      <text>
        <t>条目最终决策结论，状态变 Done 时必填</t>
      </text>
    </comment>
  </commentList>
</comment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Relationship Id="rId1" Type="http://schemas.openxmlformats.org/officeDocument/2006/relationships/drawing" Target="../drawings/drawing_wm2.xml"/>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00F59E0B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K Bank 差异需求分析追踪表 使用说明</t>
        </is>
      </c>
    </row>
    <row r="3">
      <c r="A3" s="2" t="inlineStr">
        <is>
          <t>1. 文档目的</t>
        </is>
      </c>
    </row>
    <row r="4" ht="38" customHeight="1">
      <c r="A4" s="3" t="inlineStr">
        <is>
          <t>本表用于追踪 K bank 项目基于合同 SOP 与行方期望需求之间的差异分析进度，联合多 BA 协同维护，作为需求基线确认与方案落地的依据。</t>
        </is>
      </c>
    </row>
    <row r="6">
      <c r="A6" s="2" t="inlineStr">
        <is>
          <t>2. Sheet 结构</t>
        </is>
      </c>
    </row>
    <row r="7" ht="30" customHeight="1">
      <c r="A7" s="4" t="inlineStr">
        <is>
          <t>Sheet</t>
        </is>
      </c>
      <c r="B7" s="4" t="inlineStr">
        <is>
          <t>用途</t>
        </is>
      </c>
      <c r="C7" s="4" t="inlineStr">
        <is>
          <t>维护人</t>
        </is>
      </c>
    </row>
    <row r="8" ht="30" customHeight="1">
      <c r="A8" s="5" t="inlineStr">
        <is>
          <t>差异需求追踪主表 Gap Tracking</t>
        </is>
      </c>
      <c r="B8" s="5" t="inlineStr">
        <is>
          <t>逐条登记原型 vs 行方期望的差异项，BA 主填写表</t>
        </is>
      </c>
      <c r="C8" s="5" t="inlineStr">
        <is>
          <t>对应模块 BA</t>
        </is>
      </c>
    </row>
    <row r="9" ht="30" customHeight="1">
      <c r="A9" s="5" t="inlineStr">
        <is>
          <t>模块总览 Module Overview</t>
        </is>
      </c>
      <c r="B9" s="5" t="inlineStr">
        <is>
          <t>按一级模块汇总条目数、进度、状态、待确认数（公式自动）</t>
        </is>
      </c>
      <c r="C9" s="5" t="inlineStr">
        <is>
          <t>PM/主 BA</t>
        </is>
      </c>
    </row>
    <row r="10" ht="30" customHeight="1">
      <c r="A10" s="5" t="inlineStr">
        <is>
          <t>待确认问题清单 Open Issues</t>
        </is>
      </c>
      <c r="B10" s="5" t="inlineStr">
        <is>
          <t>集中登记所有未决问题，便于跟进闭环</t>
        </is>
      </c>
      <c r="C10" s="5" t="inlineStr">
        <is>
          <t>对应 BA</t>
        </is>
      </c>
    </row>
    <row r="11" ht="30" customHeight="1">
      <c r="A11" s="5" t="inlineStr">
        <is>
          <t>BA 分工 BA Assignment</t>
        </is>
      </c>
      <c r="B11" s="5" t="inlineStr">
        <is>
          <t>BA 责任矩阵及负载概览（公式自动统计）</t>
        </is>
      </c>
      <c r="C11" s="5" t="inlineStr">
        <is>
          <t>PM</t>
        </is>
      </c>
    </row>
    <row r="13">
      <c r="A13" s="2" t="inlineStr">
        <is>
          <t>3. 状态字典 Status Dictionary</t>
        </is>
      </c>
    </row>
    <row r="14" ht="42" customHeight="1">
      <c r="A14" s="4" t="inlineStr">
        <is>
          <t>字段 Field</t>
        </is>
      </c>
      <c r="B14" s="4" t="inlineStr">
        <is>
          <t>可选值 Options</t>
        </is>
      </c>
      <c r="C14" s="4" t="inlineStr">
        <is>
          <t>含义说明 Meaning</t>
        </is>
      </c>
    </row>
    <row r="15" ht="42" customHeight="1">
      <c r="A15" s="6" t="inlineStr">
        <is>
          <t>差异类型 Gap Type</t>
        </is>
      </c>
      <c r="B15" s="6" t="inlineStr">
        <is>
          <t>新增 New / 修改 Modify / 删除 Remove / 范围扩大 Scope+ / 性能 Performance / 数据结构 Data Schema / 流程调整 Process / 其他 Other</t>
        </is>
      </c>
      <c r="C15" s="6" t="inlineStr">
        <is>
          <t>新增=行方新增期望；修改=对原型的调整；删除=行方取消；范围扩大=超出SOP；其余按字面含义</t>
        </is>
      </c>
    </row>
    <row r="16" ht="42" customHeight="1">
      <c r="A16" s="7" t="inlineStr">
        <is>
          <t>影响等级 Impact Level</t>
        </is>
      </c>
      <c r="B16" s="7" t="inlineStr">
        <is>
          <t>高 High / 中 Medium / 低 Low</t>
        </is>
      </c>
      <c r="C16" s="7" t="inlineStr">
        <is>
          <t>高=影响核心流程/合规/大范围接口；中=影响单模块下游；低=UI/字段级</t>
        </is>
      </c>
    </row>
    <row r="17" ht="42" customHeight="1">
      <c r="A17" s="6" t="inlineStr">
        <is>
          <t>当前阶段 Phase</t>
        </is>
      </c>
      <c r="B17" s="6" t="inlineStr">
        <is>
          <t>需求调研 Discovery / 差异分析 Gap Analysis / 方案确认 Solution Confirm / 方案评审 Solution Review / 待开发 Ready for Dev / 已闭环 Closed</t>
        </is>
      </c>
      <c r="C17" s="6" t="inlineStr">
        <is>
          <t>Discovery=调研；Gap Analysis=差异已识别待确认；Solution Confirm=方案待行方确认；Review=内部评审；Ready for Dev=可交付开发；Closed=已闭环</t>
        </is>
      </c>
    </row>
    <row r="18" ht="42" customHeight="1">
      <c r="A18" s="7" t="inlineStr">
        <is>
          <t>状态 Status</t>
        </is>
      </c>
      <c r="B18" s="7" t="inlineStr">
        <is>
          <t>进行中 In Progress / 已完成 Done / 阻塞 Blocked / 取消 Cancelled</t>
        </is>
      </c>
      <c r="C18" s="7" t="inlineStr">
        <is>
          <t>In Progress=进行中；Done=该条已闭环；Blocked=阻塞待决；Cancelled=取消</t>
        </is>
      </c>
    </row>
    <row r="19" ht="42" customHeight="1">
      <c r="A19" s="6" t="inlineStr">
        <is>
          <t>待确认问题优先级</t>
        </is>
      </c>
      <c r="B19" s="6" t="inlineStr">
        <is>
          <t>P0 紧急 / P1 高 / P2 中 / P3 低</t>
        </is>
      </c>
      <c r="C19" s="6" t="inlineStr">
        <is>
          <t>P0=阻塞主流程须立即决；P1=影响范围方案；P2/P3=次要素</t>
        </is>
      </c>
    </row>
    <row r="21">
      <c r="A21" s="2" t="inlineStr">
        <is>
          <t>4. 维护规范</t>
        </is>
      </c>
    </row>
    <row r="22" ht="22" customHeight="1">
      <c r="A22" s="8" t="inlineStr">
        <is>
          <t>1) 每条差异唯一 Gap ID，新增按 GR-### 顺序递增；不要复用已 Cancelled 的 ID。</t>
        </is>
      </c>
    </row>
    <row r="23" ht="22" customHeight="1">
      <c r="A23" s="8" t="inlineStr">
        <is>
          <t>2) 必填：系统、一级模块、原型需求描述、行方期望需求、差异类型、差异描述、负责 BA、状态。</t>
        </is>
      </c>
    </row>
    <row r="24" ht="22" customHeight="1">
      <c r="A24" s="8" t="inlineStr">
        <is>
          <t>3) 每周一更新『当前进度%』『状态』『待确认问题』；状态变更需在『决策/结论』列记录。</t>
        </is>
      </c>
    </row>
    <row r="25" ht="22" customHeight="1">
      <c r="A25" s="8" t="inlineStr">
        <is>
          <t>4) 待确认问题须同步登记到『待确认问题清单』Sheet，便于周会跟踪。</t>
        </is>
      </c>
    </row>
    <row r="26" ht="22" customHeight="1">
      <c r="A26" s="8" t="inlineStr">
        <is>
          <t>5) 影响 P0/P1 问题需在 24h 内升级至 PM。</t>
        </is>
      </c>
    </row>
  </sheetData>
  <mergeCells count="7">
    <mergeCell ref="A24:F24"/>
    <mergeCell ref="A1:F1"/>
    <mergeCell ref="A23:F23"/>
    <mergeCell ref="A22:F22"/>
    <mergeCell ref="A4:F4"/>
    <mergeCell ref="A26:F26"/>
    <mergeCell ref="A25:F25"/>
  </mergeCells>
  <pageMargins left="0.75" right="0.75" top="1" bottom="1" header="0.5" footer="0.5"/>
  <drawing r:id="rId1"/>
</worksheet>
</file>

<file path=xl/worksheets/sheet2.xml><worksheet xmlns="http://schemas.openxmlformats.org/spreadsheetml/2006/main"><sheetPr><tabColor rgb="001E3A5F" /><outlinePr summaryBelow="1" summaryRight="1" /><pageSetUpPr /></sheetPr><dimension ref="A1:T60" /><sheetViews><sheetView workbookViewId="0"><pane xSplit="4" ySplit="2" topLeftCell="E3" activePane="bottomRight" state="frozen" /><selection pane="topRight" /><selection pane="bottomLeft" /><selection pane="bottomRight" activeCell="A1" sqref="A1" /></sheetView></sheetViews><sheetFormatPr baseColWidth="8" defaultRowHeight="15" /><cols><col width="10" customWidth="1" min="1" max="1" /><col width="14" customWidth="1" min="2" max="2" /><col width="18" customWidth="1" min="3" max="3" /><col width="22" customWidth="1" min="4" max="4" /><col width="32" customWidth="1" min="5" max="5" /><col width="32" customWidth="1" min="6" max="6" /><col width="14" customWidth="1" min="7" max="7" /><col width="32" customWidth="1" min="8" max="8" /><col width="12" customWidth="1" min="9" max="9" /><col width="22" customWidth="1" min="10" max="10" /><col width="18" customWidth="1" min="11" max="11" /><col width="12" customWidth="1" min="12" max="12" /><col width="30" customWidth="1" min="13" max="13" /><col width="32" customWidth="1" min="14" max="14" /><col width="14" customWidth="1" min="15" max="15" /><col width="16" customWidth="1" min="16" max="16" /><col width="14" customWidth="1" min="17" max="17" /><col width="14" customWidth="1" min="18" max="18" /><col width="30" customWidth="1" min="19" max="19" /><col width="20" customWidth="1" min="20" max="20" /></cols><sheetData><row r="1" ht="26" customHeight="1"><c r="A1" s="1" t="inlineStr"><is><t>K Bank 差异需求追踪主表 Gap Requirement Tracking</t></is></c></row><row r="2" ht="40" customHeight="1"><c r="A2" s="4" t="inlineStr"><is><t>Gap ID</t></is></c><c r="B2" s="4" t="inlineStr"><is><t>系统 System</t></is></c><c r="C2" s="4" t="inlineStr"><is><t>一级模块 Module L1</t></is></c><c r="D2" s="4" t="inlineStr"><is><t>二级模块/功能点 Module L2</t></is></c><c r="E2" s="4" t="inlineStr"><is><t>原型需求描述 Prototype Req</t></is></c><c r="F2" s="4" t="inlineStr"><is><t>行方期望需求 Bank Expected</t></is></c><c r="G2" s="4" t="inlineStr"><is><t>差异类型 Gap Type</t></is></c><c r="H2" s="4" t="inlineStr"><is><t>差异描述 Gap Description</t></is></c><c r="I2" s="4" t="inlineStr"><is><t>影响等级 Impact</t></is></c><c r="J2" s="4" t="inlineStr"><is><t>影响范围 Impact Scope</t></is></c><c r="K2" s="4" t="inlineStr"><is><t>当前阶段 Phase</t></is></c><c r="L2" s="4" t="inlineStr"><is><t>当前进度% Progress</t></is></c><c r="M2" s="4" t="inlineStr"><is><t>已确定内容 Confirmed</t></is></c><c r="N2" s="4" t="inlineStr"><is><t>待确认问题 Open Question</t></is></c><c r="O2" s="4" t="inlineStr"><is><t>负责BA BA Owner</t></is></c><c r="P2" s="4" t="inlineStr"><is><t>行方接口人 Bank Contact</t></is></c><c r="Q2" s="4" t="inlineStr"><is><t>计划确认日期 Target Date</t></is></c><c r="R2" s="4" t="inlineStr"><is><t>状态 Status</t></is></c><c r="S2" s="4" t="inlineStr"><is><t>决策/结论 Decision</t></is></c><c r="T2" s="4" t="inlineStr"><is><t>备注 Remarks</t></is></c></row><row r="3" ht="56" customHeight="1"><c r="A3" s="7" t="inlineStr"><is><t>GR-001</t></is></c><c r="B3" s="7" t="inlineStr"><is><t>核心系统 Core</t></is></c><c r="C3" s="7" t="inlineStr"><is><t>存款 Deposit</t></is></c><c r="D3" s="7" t="inlineStr"><is><t>活期账户开户</t></is></c><c r="E3" s="7" t="inlineStr"><is><t>支持本地身份证开户，最低起存 1000</t></is></c><c r="F3" s="7" t="inlineStr"><is><t>需支持护照开户，起存 500，并支持多币种活期账户</t></is></c><c r="G3" s="7" t="inlineStr"><is><t>新增 New</t></is></c><c r="H3" s="7" t="inlineStr"><is><t>新增护照证件类型 + 多币种账户结构</t></is></c><c r="I3" s="7" t="inlineStr"><is><t>高 High</t></is></c><c r="J3" s="7" t="inlineStr"><is><t>账户主数据、核心接口、报表</t></is></c><c r="K3" s="7" t="inlineStr"><is><t>差异分析 Gap Analysis</t></is></c><c r="L3" s="7" t="inlineStr"><is><t>30%</t></is></c><c r="M3" s="7" t="inlineStr"><is><t>已确认护照字段加入客户主数据表</t></is></c><c r="N3" s="7" t="inlineStr"><is><t>多币种活期账户的科目映射规则待行方确认</t></is></c><c r="O3" s="7" t="inlineStr"><is><t>张三</t></is></c><c r="P3" s="7" t="inlineStr"><is><t>行方 IT 负责人 A</t></is></c><c r="Q3" s="7" t="inlineStr"><is><t>2026-10-20</t></is></c><c r="R3" s="7" t="inlineStr"><is><t>进行中 In Progress</t></is></c><c r="S3" s="7" t="inlineStr" /><c r="T3" s="7" t="inlineStr" /></row><row r="4" ht="56" customHeight="1"><c r="A4" s="6" t="inlineStr"><is><t>GR-002</t></is></c><c r="B4" s="6" t="inlineStr"><is><t>网银系统 e-Banking</t></is></c><c r="C4" s="6" t="inlineStr"><is><t>渠道 Channel</t></is></c><c r="D4" s="6" t="inlineStr"><is><t>转账限额管理</t></is></c><c r="E4" s="6" t="inlineStr"><is><t>单笔限额 5000，日累计 50000</t></is></c><c r="F4" s="6" t="inlineStr"><is><t>单笔限额 10000，日累计 100000，且可分角色配置</t></is></c><c r="G4" s="6" t="inlineStr"><is><t>修改 Modify</t></is></c><c r="H4" s="6" t="inlineStr"><is><t>限额参数化、按角色维度配置</t></is></c><c r="I4" s="6" t="inlineStr"><is><t>中 Medium</t></is></c><c r="J4" s="6" t="inlineStr"><is><t>网银前端、风控规则、核心限额接口</t></is></c><c r="K4" s="6" t="inlineStr"><is><t>方案确认 Solution Confirm</t></is></c><c r="L4" s="6" t="inlineStr"><is><t>60%</t></is></c><c r="M4" s="6" t="inlineStr"><is><t>限额参数表新增角色维度字段</t></is></c><c r="N4" s="6" t="inlineStr"><is><t>角色与权限的映射关系待业务部门确认</t></is></c><c r="O4" s="6" t="inlineStr"><is><t>李四</t></is></c><c r="P4" s="6" t="inlineStr"><is><t>行方业务负责人 B</t></is></c><c r="Q4" s="6" t="inlineStr"><is><t>2026-10-18</t></is></c><c r="R4" s="6" t="inlineStr"><is><t>进行中 In Progress</t></is></c><c r="S4" s="6" t="inlineStr" /><c r="T4" s="6" t="inlineStr" /></row><row r="5" ht="56" customHeight="1"><c r="A5" s="7" t="inlineStr"><is><t>GR-003</t></is></c><c r="B5" s="7" t="inlineStr"><is><t>核心系统 Core</t></is></c><c r="C5" s="7" t="inlineStr"><is><t>反洗钱 AML</t></is></c><c r="D5" s="7" t="inlineStr"><is><t>可疑交易上报</t></is></c><c r="E5" s="7" t="inlineStr"><is><t>T+1 批量上报</t></is></c><c r="F5" s="7" t="inlineStr"><is><t>T+0 实时上报 + 人工复核</t></is></c><c r="G5" s="7" t="inlineStr"><is><t>范围扩大 Scope+</t></is></c><c r="H5" s="7" t="inlineStr"><is><t>增加实时上报通道与人工复核工作流</t></is></c><c r="I5" s="7" t="inlineStr"><is><t>高 High</t></is></c><c r="J5" s="7" t="inlineStr"><is><t>AML 引擎、上报接口、运营工作台</t></is></c><c r="K5" s="7" t="inlineStr"><is><t>需求调研 Discovery</t></is></c><c r="L5" s="7" t="inlineStr"><is><t>15%</t></is></c><c r="M5" s="7" t="inlineStr" /><c r="N5" s="7" t="inlineStr"><is><t>T+0 实时上报的接口规范与监管报送格式待确认</t></is></c><c r="O5" s="7" t="inlineStr"><is><t>王五</t></is></c><c r="P5" s="7" t="inlineStr"><is><t>行方合规负责人 C</t></is></c><c r="Q5" s="7" t="inlineStr"><is><t>2026-10-25</t></is></c><c r="R5" s="7" t="inlineStr"><is><t>阻塞 Blocked</t></is></c><c r="S5" s="7" t="inlineStr" /><c r="T5" s="7" t="inlineStr"><is><t>需监管报送咨询外部意见</t></is></c></row><row r="6" ht="42" customHeight="1"><c r="A6" s="6" t="n" /><c r="B6" s="6" t="n" /><c r="C6" s="6" t="n" /><c r="D6" s="6" t="n" /><c r="E6" s="6" t="n" /><c r="F6" s="6" t="n" /><c r="G6" s="6" t="n" /><c r="H6" s="6" t="n" /><c r="I6" s="6" t="n" /><c r="J6" s="6" t="n" /><c r="K6" s="6" t="n" /><c r="L6" s="6" t="n" /><c r="M6" s="6" t="n" /><c r="N6" s="6" t="n" /><c r="O6" s="6" t="n" /><c r="P6" s="6" t="n" /><c r="Q6" s="6" t="n" /><c r="R6" s="6" t="n" /><c r="S6" s="6" t="n" /><c r="T6" s="6" t="n" /></row><row r="7" ht="42" customHeight="1"><c r="A7" s="7" t="n" /><c r="B7" s="7" t="n" /><c r="C7" s="7" t="n" /><c r="D7" s="7" t="n" /><c r="E7" s="7" t="n" /><c r="F7" s="7" t="n" /><c r="G7" s="7" t="n" /><c r="H7" s="7" t="n" /><c r="I7" s="7" t="n" /><c r="J7" s="7" t="n" /><c r="K7" s="7" t="n" /><c r="L7" s="7" t="n" /><c r="M7" s="7" t="n" /><c r="N7" s="7" t="n" /><c r="O7" s="7" t="n" /><c r="P7" s="7" t="n" /><c r="Q7" s="7" t="n" /><c r="R7" s="7" t="n" /><c r="S7" s="7" t="n" /><c r="T7" s="7" t="n" /></row><row r="8" ht="42" customHeight="1"><c r="A8" s="6" t="n" /><c r="B8" s="6" t="n" /><c r="C8" s="6" t="n" /><c r="D8" s="6" t="n" /><c r="E8" s="6" t="n" /><c r="F8" s="6" t="n" /><c r="G8" s="6" t="n" /><c r="H8" s="6" t="n" /><c r="I8" s="6" t="n" /><c r="J8" s="6" t="n" /><c r="K8" s="6" t="n" /><c r="L8" s="6" t="n" /><c r="M8" s="6" t="n" /><c r="N8" s="6" t="n" /><c r="O8" s="6" t="n" /><c r="P8" s="6" t="n" /><c r="Q8" s="6" t="n" /><c r="R8" s="6" t="n" /><c r="S8" s="6" t="n" /><c r="T8" s="6" t="n" /></row><row r="9" ht="42" customHeight="1"><c r="A9" s="7" t="n" /><c r="B9" s="7" t="n" /><c r="C9" s="7" t="n" /><c r="D9" s="7" t="n" /><c r="E9" s="7" t="n" /><c r="F9" s="7" t="n" /><c r="G9" s="7" t="n" /><c r="H9" s="7" t="n" /><c r="I9" s="7" t="n" /><c r="J9" s="7" t="n" /><c r="K9" s="7" t="n" /><c r="L9" s="7" t="n" /><c r="M9" s="7" t="n" /><c r="N9" s="7" t="n" /><c r="O9" s="7" t="n" /><c r="P9" s="7" t="n" /><c r="Q9" s="7" t="n" /><c r="R9" s="7" t="n" /><c r="S9" s="7" t="n" /><c r="T9" s="7" t="n" /></row><row r="10" ht="42" customHeight="1"><c r="A10" s="6" t="n" /><c r="B10" s="6" t="n" /><c r="C10" s="6" t="n" /><c r="D10" s="6" t="n" /><c r="E10" s="6" t="n" /><c r="F10" s="6" t="n" /><c r="G10" s="6" t="n" /><c r="H10" s="6" t="n" /><c r="I10" s="6" t="n" /><c r="J10" s="6" t="n" /><c r="K10" s="6" t="n" /><c r="L10" s="6" t="n" /><c r="M10" s="6" t="n" /><c r="N10" s="6" t="n" /><c r="O10" s="6" t="n" /><c r="P10" s="6" t="n" /><c r="Q10" s="6" t="n" /><c r="R10" s="6" t="n" /><c r="S10" s="6" t="n" /><c r="T10" s="6" t="n" /></row><row r="11" ht="42" customHeight="1"><c r="A11" s="7" t="n" /><c r="B11" s="7" t="n" /><c r="C11" s="7" t="n" /><c r="D11" s="7" t="n" /><c r="E11" s="7" t="n" /><c r="F11" s="7" t="n" /><c r="G11" s="7" t="n" /><c r="H11" s="7" t="n" /><c r="I11" s="7" t="n" /><c r="J11" s="7" t="n" /><c r="K11" s="7" t="n" /><c r="L11" s="7" t="n" /><c r="M11" s="7" t="n" /><c r="N11" s="7" t="n" /><c r="O11" s="7" t="n" /><c r="P11" s="7" t="n" /><c r="Q11" s="7" t="n" /><c r="R11" s="7" t="n" /><c r="S11" s="7" t="n" /><c r="T11" s="7" t="n" /></row><row r="12" ht="42" customHeight="1"><c r="A12" s="6" t="n" /><c r="B12" s="6" t="n" /><c r="C12" s="6" t="n" /><c r="D12" s="6" t="n" /><c r="E12" s="6" t="n" /><c r="F12" s="6" t="n" /><c r="G12" s="6" t="n" /><c r="H12" s="6" t="n" /><c r="I12" s="6" t="n" /><c r="J12" s="6" t="n" /><c r="K12" s="6" t="n" /><c r="L12" s="6" t="n" /><c r="M12" s="6" t="n" /><c r="N12" s="6" t="n" /><c r="O12" s="6" t="n" /><c r="P12" s="6" t="n" /><c r="Q12" s="6" t="n" /><c r="R12" s="6" t="n" /><c r="S12" s="6" t="n" /><c r="T12" s="6" t="n" /></row><row r="13" ht="42" customHeight="1"><c r="A13" s="7" t="n" /><c r="B13" s="7" t="n" /><c r="C13" s="7" t="n" /><c r="D13" s="7" t="n" /><c r="E13" s="7" t="n" /><c r="F13" s="7" t="n" /><c r="G13" s="7" t="n" /><c r="H13" s="7" t="n" /><c r="I13" s="7" t="n" /><c r="J13" s="7" t="n" /><c r="K13" s="7" t="n" /><c r="L13" s="7" t="n" /><c r="M13" s="7" t="n" /><c r="N13" s="7" t="n" /><c r="O13" s="7" t="n" /><c r="P13" s="7" t="n" /><c r="Q13" s="7" t="n" /><c r="R13" s="7" t="n" /><c r="S13" s="7" t="n" /><c r="T13" s="7" t="n" /></row><row r="14" ht="42" customHeight="1"><c r="A14" s="6" t="n" /><c r="B14" s="6" t="n" /><c r="C14" s="6" t="n" /><c r="D14" s="6" t="n" /><c r="E14" s="6" t="n" /><c r="F14" s="6" t="n" /><c r="G14" s="6" t="n" /><c r="H14" s="6" t="n" /><c r="I14" s="6" t="n" /><c r="J14" s="6" t="n" /><c r="K14" s="6" t="n" /><c r="L14" s="6" t="n" /><c r="M14" s="6" t="n" /><c r="N14" s="6" t="n" /><c r="O14" s="6" t="n" /><c r="P14" s="6" t="n" /><c r="Q14" s="6" t="n" /><c r="R14" s="6" t="n" /><c r="S14" s="6" t="n" /><c r="T14" s="6" t="n" /></row><row r="15" ht="42" customHeight="1"><c r="A15" s="7" t="n" /><c r="B15" s="7" t="n" /><c r="C15" s="7" t="n" /><c r="D15" s="7" t="n" /><c r="E15" s="7" t="n" /><c r="F15" s="7" t="n" /><c r="G15" s="7" t="n" /><c r="H15" s="7" t="n" /><c r="I15" s="7" t="n" /><c r="J15" s="7" t="n" /><c r="K15" s="7" t="n" /><c r="L15" s="7" t="n" /><c r="M15" s="7" t="n" /><c r="N15" s="7" t="n" /><c r="O15" s="7" t="n" /><c r="P15" s="7" t="n" /><c r="Q15" s="7" t="n" /><c r="R15" s="7" t="n" /><c r="S15" s="7" t="n" /><c r="T15" s="7" t="n" /></row><row r="16" ht="42" customHeight="1"><c r="A16" s="6" t="n" /><c r="B16" s="6" t="n" /><c r="C16" s="6" t="n" /><c r="D16" s="6" t="n" /><c r="E16" s="6" t="n" /><c r="F16" s="6" t="n" /><c r="G16" s="6" t="n" /><c r="H16" s="6" t="n" /><c r="I16" s="6" t="n" /><c r="J16" s="6" t="n" /><c r="K16" s="6" t="n" /><c r="L16" s="6" t="n" /><c r="M16" s="6" t="n" /><c r="N16" s="6" t="n" /><c r="O16" s="6" t="n" /><c r="P16" s="6" t="n" /><c r="Q16" s="6" t="n" /><c r="R16" s="6" t="n" /><c r="S16" s="6" t="n" /><c r="T16" s="6" t="n" /></row><row r="17" ht="42" customHeight="1"><c r="A17" s="7" t="n" /><c r="B17" s="7" t="n" /><c r="C17" s="7" t="n" /><c r="D17" s="7" t="n" /><c r="E17" s="7" t="n" /><c r="F17" s="7" t="n" /><c r="G17" s="7" t="n" /><c r="H17" s="7" t="n" /><c r="I17" s="7" t="n" /><c r="J17" s="7" t="n" /><c r="K17" s="7" t="n" /><c r="L17" s="7" t="n" /><c r="M17" s="7" t="n" /><c r="N17" s="7" t="n" /><c r="O17" s="7" t="n" /><c r="P17" s="7" t="n" /><c r="Q17" s="7" t="n" /><c r="R17" s="7" t="n" /><c r="S17" s="7" t="n" /><c r="T17" s="7" t="n" /></row><row r="18" ht="42" customHeight="1"><c r="A18" s="6" t="n" /><c r="B18" s="6" t="n" /><c r="C18" s="6" t="n" /><c r="D18" s="6" t="n" /><c r="E18" s="6" t="n" /><c r="F18" s="6" t="n" /><c r="G18" s="6" t="n" /><c r="H18" s="6" t="n" /><c r="I18" s="6" t="n" /><c r="J18" s="6" t="n" /><c r="K18" s="6" t="n" /><c r="L18" s="6" t="n" /><c r="M18" s="6" t="n" /><c r="N18" s="6" t="n" /><c r="O18" s="6" t="n" /><c r="P18" s="6" t="n" /><c r="Q18" s="6" t="n" /><c r="R18" s="6" t="n" /><c r="S18" s="6" t="n" /><c r="T18" s="6" t="n" /></row><row r="19" ht="42" customHeight="1"><c r="A19" s="7" t="n" /><c r="B19" s="7" t="n" /><c r="C19" s="7" t="n" /><c r="D19" s="7" t="n" /><c r="E19" s="7" t="n" /><c r="F19" s="7" t="n" /><c r="G19" s="7" t="n" /><c r="H19" s="7" t="n" /><c r="I19" s="7" t="n" /><c r="J19" s="7" t="n" /><c r="K19" s="7" t="n" /><c r="L19" s="7" t="n" /><c r="M19" s="7" t="n" /><c r="N19" s="7" t="n" /><c r="O19" s="7" t="n" /><c r="P19" s="7" t="n" /><c r="Q19" s="7" t="n" /><c r="R19" s="7" t="n" /><c r="S19" s="7" t="n" /><c r="T19" s="7" t="n" /></row><row r="20" ht="42" customHeight="1"><c r="A20" s="6" t="n" /><c r="B20" s="6" t="n" /><c r="C20" s="6" t="n" /><c r="D20" s="6" t="n" /><c r="E20" s="6" t="n" /><c r="F20" s="6" t="n" /><c r="G20" s="6" t="n" /><c r="H20" s="6" t="n" /><c r="I20" s="6" t="n" /><c r="J20" s="6" t="n" /><c r="K20" s="6" t="n" /><c r="L20" s="6" t="n" /><c r="M20" s="6" t="n" /><c r="N20" s="6" t="n" /><c r="O20" s="6" t="n" /><c r="P20" s="6" t="n" /><c r="Q20" s="6" t="n" /><c r="R20" s="6" t="n" /><c r="S20" s="6" t="n" /><c r="T20" s="6" t="n" /></row><row r="21" ht="42" customHeight="1"><c r="A21" s="7" t="n" /><c r="B21" s="7" t="n" /><c r="C21" s="7" t="n" /><c r="D21" s="7" t="n" /><c r="E21" s="7" t="n" /><c r="F21" s="7" t="n" /><c r="G21" s="7" t="n" /><c r="H21" s="7" t="n" /><c r="I21" s="7" t="n" /><c r="J21" s="7" t="n" /><c r="K21" s="7" t="n" /><c r="L21" s="7" t="n" /><c r="M21" s="7" t="n" /><c r="N21" s="7" t="n" /><c r="O21" s="7" t="n" /><c r="P21" s="7" t="n" /><c r="Q21" s="7" t="n" /><c r="R21" s="7" t="n" /><c r="S21" s="7" t="n" /><c r="T21" s="7" t="n" /></row><row r="22" ht="42" customHeight="1"><c r="A22" s="6" t="n" /><c r="B22" s="6" t="n" /><c r="C22" s="6" t="n" /><c r="D22" s="6" t="n" /><c r="E22" s="6" t="n" /><c r="F22" s="6" t="n" /><c r="G22" s="6" t="n" /><c r="H22" s="6" t="n" /><c r="I22" s="6" t="n" /><c r="J22" s="6" t="n" /><c r="K22" s="6" t="n" /><c r="L22" s="6" t="n" /><c r="M22" s="6" t="n" /><c r="N22" s="6" t="n" /><c r="O22" s="6" t="n" /><c r="P22" s="6" t="n" /><c r="Q22" s="6" t="n" /><c r="R22" s="6" t="n" /><c r="S22" s="6" t="n" /><c r="T22" s="6" t="n" /></row><row r="23" ht="42" customHeight="1"><c r="A23" s="7" t="n" /><c r="B23" s="7" t="n" /><c r="C23" s="7" t="n" /><c r="D23" s="7" t="n" /><c r="E23" s="7" t="n" /><c r="F23" s="7" t="n" /><c r="G23" s="7" t="n" /><c r="H23" s="7" t="n" /><c r="I23" s="7" t="n" /><c r="J23" s="7" t="n" /><c r="K23" s="7" t="n" /><c r="L23" s="7" t="n" /><c r="M23" s="7" t="n" /><c r="N23" s="7" t="n" /><c r="O23" s="7" t="n" /><c r="P23" s="7" t="n" /><c r="Q23" s="7" t="n" /><c r="R23" s="7" t="n" /><c r="S23" s="7" t="n" /><c r="T23" s="7" t="n" /></row><row r="24" ht="42" customHeight="1"><c r="A24" s="6" t="n" /><c r="B24" s="6" t="n" /><c r="C24" s="6" t="n" /><c r="D24" s="6" t="n" /><c r="E24" s="6" t="n" /><c r="F24" s="6" t="n" /><c r="G24" s="6" t="n" /><c r="H24" s="6" t="n" /><c r="I24" s="6" t="n" /><c r="J24" s="6" t="n" /><c r="K24" s="6" t="n" /><c r="L24" s="6" t="n" /><c r="M24" s="6" t="n" /><c r="N24" s="6" t="n" /><c r="O24" s="6" t="n" /><c r="P24" s="6" t="n" /><c r="Q24" s="6" t="n" /><c r="R24" s="6" t="n" /><c r="S24" s="6" t="n" /><c r="T24" s="6" t="n" /></row><row r="25" ht="42" customHeight="1"><c r="A25" s="7" t="n" /><c r="B25" s="7" t="n" /><c r="C25" s="7" t="n" /><c r="D25" s="7" t="n" /><c r="E25" s="7" t="n" /><c r="F25" s="7" t="n" /><c r="G25" s="7" t="n" /><c r="H25" s="7" t="n" /><c r="I25" s="7" t="n" /><c r="J25" s="7" t="n" /><c r="K25" s="7" t="n" /><c r="L25" s="7" t="n" /><c r="M25" s="7" t="n" /><c r="N25" s="7" t="n" /><c r="O25" s="7" t="n" /><c r="P25" s="7" t="n" /><c r="Q25" s="7" t="n" /><c r="R25" s="7" t="n" /><c r="S25" s="7" t="n" /><c r="T25" s="7" t="n" /></row><row r="26" ht="42" customHeight="1"><c r="A26" s="6" t="n" /><c r="B26" s="6" t="n" /><c r="C26" s="6" t="n" /><c r="D26" s="6" t="n" /><c r="E26" s="6" t="n" /><c r="F26" s="6" t="n" /><c r="G26" s="6" t="n" /><c r="H26" s="6" t="n" /><c r="I26" s="6" t="n" /><c r="J26" s="6" t="n" /><c r="K26" s="6" t="n" /><c r="L26" s="6" t="n" /><c r="M26" s="6" t="n" /><c r="N26" s="6" t="n" /><c r="O26" s="6" t="n" /><c r="P26" s="6" t="n" /><c r="Q26" s="6" t="n" /><c r="R26" s="6" t="n" /><c r="S26" s="6" t="n" /><c r="T26" s="6" t="n" /></row><row r="27" ht="42" customHeight="1"><c r="A27" s="7" t="n" /><c r="B27" s="7" t="n" /><c r="C27" s="7" t="n" /><c r="D27" s="7" t="n" /><c r="E27" s="7" t="n" /><c r="F27" s="7" t="n" /><c r="G27" s="7" t="n" /><c r="H27" s="7" t="n" /><c r="I27" s="7" t="n" /><c r="J27" s="7" t="n" /><c r="K27" s="7" t="n" /><c r="L27" s="7" t="n" /><c r="M27" s="7" t="n" /><c r="N27" s="7" t="n" /><c r="O27" s="7" t="n" /><c r="P27" s="7" t="n" /><c r="Q27" s="7" t="n" /><c r="R27" s="7" t="n" /><c r="S27" s="7" t="n" /><c r="T27" s="7" t="n" /></row><row r="28" ht="42" customHeight="1"><c r="A28" s="6" t="n" /><c r="B28" s="6" t="n" /><c r="C28" s="6" t="n" /><c r="D28" s="6" t="n" /><c r="E28" s="6" t="n" /><c r="F28" s="6" t="n" /><c r="G28" s="6" t="n" /><c r="H28" s="6" t="n" /><c r="I28" s="6" t="n" /><c r="J28" s="6" t="n" /><c r="K28" s="6" t="n" /><c r="L28" s="6" t="n" /><c r="M28" s="6" t="n" /><c r="N28" s="6" t="n" /><c r="O28" s="6" t="n" /><c r="P28" s="6" t="n" /><c r="Q28" s="6" t="n" /><c r="R28" s="6" t="n" /><c r="S28" s="6" t="n" /><c r="T28" s="6" t="n" /></row><row r="29" ht="42" customHeight="1"><c r="A29" s="7" t="n" /><c r="B29" s="7" t="n" /><c r="C29" s="7" t="n" /><c r="D29" s="7" t="n" /><c r="E29" s="7" t="n" /><c r="F29" s="7" t="n" /><c r="G29" s="7" t="n" /><c r="H29" s="7" t="n" /><c r="I29" s="7" t="n" /><c r="J29" s="7" t="n" /><c r="K29" s="7" t="n" /><c r="L29" s="7" t="n" /><c r="M29" s="7" t="n" /><c r="N29" s="7" t="n" /><c r="O29" s="7" t="n" /><c r="P29" s="7" t="n" /><c r="Q29" s="7" t="n" /><c r="R29" s="7" t="n" /><c r="S29" s="7" t="n" /><c r="T29" s="7" t="n" /></row><row r="30" ht="42" customHeight="1"><c r="A30" s="6" t="n" /><c r="B30" s="6" t="n" /><c r="C30" s="6" t="n" /><c r="D30" s="6" t="n" /><c r="E30" s="6" t="n" /><c r="F30" s="6" t="n" /><c r="G30" s="6" t="n" /><c r="H30" s="6" t="n" /><c r="I30" s="6" t="n" /><c r="J30" s="6" t="n" /><c r="K30" s="6" t="n" /><c r="L30" s="6" t="n" /><c r="M30" s="6" t="n" /><c r="N30" s="6" t="n" /><c r="O30" s="6" t="n" /><c r="P30" s="6" t="n" /><c r="Q30" s="6" t="n" /><c r="R30" s="6" t="n" /><c r="S30" s="6" t="n" /><c r="T30" s="6" t="n" /></row><row r="31" ht="42" customHeight="1"><c r="A31" s="7" t="n" /><c r="B31" s="7" t="n" /><c r="C31" s="7" t="n" /><c r="D31" s="7" t="n" /><c r="E31" s="7" t="n" /><c r="F31" s="7" t="n" /><c r="G31" s="7" t="n" /><c r="H31" s="7" t="n" /><c r="I31" s="7" t="n" /><c r="J31" s="7" t="n" /><c r="K31" s="7" t="n" /><c r="L31" s="7" t="n" /><c r="M31" s="7" t="n" /><c r="N31" s="7" t="n" /><c r="O31" s="7" t="n" /><c r="P31" s="7" t="n" /><c r="Q31" s="7" t="n" /><c r="R31" s="7" t="n" /><c r="S31" s="7" t="n" /><c r="T31" s="7" t="n" /></row><row r="32" ht="42" customHeight="1"><c r="A32" s="6" t="n" /><c r="B32" s="6" t="n" /><c r="C32" s="6" t="n" /><c r="D32" s="6" t="n" /><c r="E32" s="6" t="n" /><c r="F32" s="6" t="n" /><c r="G32" s="6" t="n" /><c r="H32" s="6" t="n" /><c r="I32" s="6" t="n" /><c r="J32" s="6" t="n" /><c r="K32" s="6" t="n" /><c r="L32" s="6" t="n" /><c r="M32" s="6" t="n" /><c r="N32" s="6" t="n" /><c r="O32" s="6" t="n" /><c r="P32" s="6" t="n" /><c r="Q32" s="6" t="n" /><c r="R32" s="6" t="n" /><c r="S32" s="6" t="n" /><c r="T32" s="6" t="n" /></row><row r="33" ht="42" customHeight="1"><c r="A33" s="7" t="n" /><c r="B33" s="7" t="n" /><c r="C33" s="7" t="n" /><c r="D33" s="7" t="n" /><c r="E33" s="7" t="n" /><c r="F33" s="7" t="n" /><c r="G33" s="7" t="n" /><c r="H33" s="7" t="n" /><c r="I33" s="7" t="n" /><c r="J33" s="7" t="n" /><c r="K33" s="7" t="n" /><c r="L33" s="7" t="n" /><c r="M33" s="7" t="n" /><c r="N33" s="7" t="n" /><c r="O33" s="7" t="n" /><c r="P33" s="7" t="n" /><c r="Q33" s="7" t="n" /><c r="R33" s="7" t="n" /><c r="S33" s="7" t="n" /><c r="T33" s="7" t="n" /></row><row r="34" ht="42" customHeight="1"><c r="A34" s="6" t="n" /><c r="B34" s="6" t="n" /><c r="C34" s="6" t="n" /><c r="D34" s="6" t="n" /><c r="E34" s="6" t="n" /><c r="F34" s="6" t="n" /><c r="G34" s="6" t="n" /><c r="H34" s="6" t="n" /><c r="I34" s="6" t="n" /><c r="J34" s="6" t="n" /><c r="K34" s="6" t="n" /><c r="L34" s="6" t="n" /><c r="M34" s="6" t="n" /><c r="N34" s="6" t="n" /><c r="O34" s="6" t="n" /><c r="P34" s="6" t="n" /><c r="Q34" s="6" t="n" /><c r="R34" s="6" t="n" /><c r="S34" s="6" t="n" /><c r="T34" s="6" t="n" /></row><row r="35" ht="42" customHeight="1"><c r="A35" s="7" t="n" /><c r="B35" s="7" t="n" /><c r="C35" s="7" t="n" /><c r="D35" s="7" t="n" /><c r="E35" s="7" t="n" /><c r="F35" s="7" t="n" /><c r="G35" s="7" t="n" /><c r="H35" s="7" t="n" /><c r="I35" s="7" t="n" /><c r="J35" s="7" t="n" /><c r="K35" s="7" t="n" /><c r="L35" s="7" t="n" /><c r="M35" s="7" t="n" /><c r="N35" s="7" t="n" /><c r="O35" s="7" t="n" /><c r="P35" s="7" t="n" /><c r="Q35" s="7" t="n" /><c r="R35" s="7" t="n" /><c r="S35" s="7" t="n" /><c r="T35" s="7" t="n" /></row><row r="36" ht="42" customHeight="1"><c r="A36" s="6" t="n" /><c r="B36" s="6" t="n" /><c r="C36" s="6" t="n" /><c r="D36" s="6" t="n" /><c r="E36" s="6" t="n" /><c r="F36" s="6" t="n" /><c r="G36" s="6" t="n" /><c r="H36" s="6" t="n" /><c r="I36" s="6" t="n" /><c r="J36" s="6" t="n" /><c r="K36" s="6" t="n" /><c r="L36" s="6" t="n" /><c r="M36" s="6" t="n" /><c r="N36" s="6" t="n" /><c r="O36" s="6" t="n" /><c r="P36" s="6" t="n" /><c r="Q36" s="6" t="n" /><c r="R36" s="6" t="n" /><c r="S36" s="6" t="n" /><c r="T36" s="6" t="n" /></row><row r="37" ht="42" customHeight="1"><c r="A37" s="7" t="n" /><c r="B37" s="7" t="n" /><c r="C37" s="7" t="n" /><c r="D37" s="7" t="n" /><c r="E37" s="7" t="n" /><c r="F37" s="7" t="n" /><c r="G37" s="7" t="n" /><c r="H37" s="7" t="n" /><c r="I37" s="7" t="n" /><c r="J37" s="7" t="n" /><c r="K37" s="7" t="n" /><c r="L37" s="7" t="n" /><c r="M37" s="7" t="n" /><c r="N37" s="7" t="n" /><c r="O37" s="7" t="n" /><c r="P37" s="7" t="n" /><c r="Q37" s="7" t="n" /><c r="R37" s="7" t="n" /><c r="S37" s="7" t="n" /><c r="T37" s="7" t="n" /></row><row r="38" ht="42" customHeight="1"><c r="A38" s="6" t="n" /><c r="B38" s="6" t="n" /><c r="C38" s="6" t="n" /><c r="D38" s="6" t="n" /><c r="E38" s="6" t="n" /><c r="F38" s="6" t="n" /><c r="G38" s="6" t="n" /><c r="H38" s="6" t="n" /><c r="I38" s="6" t="n" /><c r="J38" s="6" t="n" /><c r="K38" s="6" t="n" /><c r="L38" s="6" t="n" /><c r="M38" s="6" t="n" /><c r="N38" s="6" t="n" /><c r="O38" s="6" t="n" /><c r="P38" s="6" t="n" /><c r="Q38" s="6" t="n" /><c r="R38" s="6" t="n" /><c r="S38" s="6" t="n" /><c r="T38" s="6" t="n" /></row><row r="39" ht="42" customHeight="1"><c r="A39" s="7" t="n" /><c r="B39" s="7" t="n" /><c r="C39" s="7" t="n" /><c r="D39" s="7" t="n" /><c r="E39" s="7" t="n" /><c r="F39" s="7" t="n" /><c r="G39" s="7" t="n" /><c r="H39" s="7" t="n" /><c r="I39" s="7" t="n" /><c r="J39" s="7" t="n" /><c r="K39" s="7" t="n" /><c r="L39" s="7" t="n" /><c r="M39" s="7" t="n" /><c r="N39" s="7" t="n" /><c r="O39" s="7" t="n" /><c r="P39" s="7" t="n" /><c r="Q39" s="7" t="n" /><c r="R39" s="7" t="n" /><c r="S39" s="7" t="n" /><c r="T39" s="7" t="n" /></row><row r="40" ht="42" customHeight="1"><c r="A40" s="6" t="n" /><c r="B40" s="6" t="n" /><c r="C40" s="6" t="n" /><c r="D40" s="6" t="n" /><c r="E40" s="6" t="n" /><c r="F40" s="6" t="n" /><c r="G40" s="6" t="n" /><c r="H40" s="6" t="n" /><c r="I40" s="6" t="n" /><c r="J40" s="6" t="n" /><c r="K40" s="6" t="n" /><c r="L40" s="6" t="n" /><c r="M40" s="6" t="n" /><c r="N40" s="6" t="n" /><c r="O40" s="6" t="n" /><c r="P40" s="6" t="n" /><c r="Q40" s="6" t="n" /><c r="R40" s="6" t="n" /><c r="S40" s="6" t="n" /><c r="T40" s="6" t="n" /></row><row r="41" ht="42" customHeight="1"><c r="A41" s="7" t="n" /><c r="B41" s="7" t="n" /><c r="C41" s="7" t="n" /><c r="D41" s="7" t="n" /><c r="E41" s="7" t="n" /><c r="F41" s="7" t="n" /><c r="G41" s="7" t="n" /><c r="H41" s="7" t="n" /><c r="I41" s="7" t="n" /><c r="J41" s="7" t="n" /><c r="K41" s="7" t="n" /><c r="L41" s="7" t="n" /><c r="M41" s="7" t="n" /><c r="N41" s="7" t="n" /><c r="O41" s="7" t="n" /><c r="P41" s="7" t="n" /><c r="Q41" s="7" t="n" /><c r="R41" s="7" t="n" /><c r="S41" s="7" t="n" /><c r="T41" s="7" t="n" /></row><row r="42" ht="42" customHeight="1"><c r="A42" s="6" t="n" /><c r="B42" s="6" t="n" /><c r="C42" s="6" t="n" /><c r="D42" s="6" t="n" /><c r="E42" s="6" t="n" /><c r="F42" s="6" t="n" /><c r="G42" s="6" t="n" /><c r="H42" s="6" t="n" /><c r="I42" s="6" t="n" /><c r="J42" s="6" t="n" /><c r="K42" s="6" t="n" /><c r="L42" s="6" t="n" /><c r="M42" s="6" t="n" /><c r="N42" s="6" t="n" /><c r="O42" s="6" t="n" /><c r="P42" s="6" t="n" /><c r="Q42" s="6" t="n" /><c r="R42" s="6" t="n" /><c r="S42" s="6" t="n" /><c r="T42" s="6" t="n" /></row><row r="43" ht="42" customHeight="1"><c r="A43" s="7" t="n" /><c r="B43" s="7" t="n" /><c r="C43" s="7" t="n" /><c r="D43" s="7" t="n" /><c r="E43" s="7" t="n" /><c r="F43" s="7" t="n" /><c r="G43" s="7" t="n" /><c r="H43" s="7" t="n" /><c r="I43" s="7" t="n" /><c r="J43" s="7" t="n" /><c r="K43" s="7" t="n" /><c r="L43" s="7" t="n" /><c r="M43" s="7" t="n" /><c r="N43" s="7" t="n" /><c r="O43" s="7" t="n" /><c r="P43" s="7" t="n" /><c r="Q43" s="7" t="n" /><c r="R43" s="7" t="n" /><c r="S43" s="7" t="n" /><c r="T43" s="7" t="n" /></row><row r="44" ht="42" customHeight="1"><c r="A44" s="6" t="n" /><c r="B44" s="6" t="n" /><c r="C44" s="6" t="n" /><c r="D44" s="6" t="n" /><c r="E44" s="6" t="n" /><c r="F44" s="6" t="n" /><c r="G44" s="6" t="n" /><c r="H44" s="6" t="n" /><c r="I44" s="6" t="n" /><c r="J44" s="6" t="n" /><c r="K44" s="6" t="n" /><c r="L44" s="6" t="n" /><c r="M44" s="6" t="n" /><c r="N44" s="6" t="n" /><c r="O44" s="6" t="n" /><c r="P44" s="6" t="n" /><c r="Q44" s="6" t="n" /><c r="R44" s="6" t="n" /><c r="S44" s="6" t="n" /><c r="T44" s="6" t="n" /></row><row r="45" ht="42" customHeight="1"><c r="A45" s="7" t="n" /><c r="B45" s="7" t="n" /><c r="C45" s="7" t="n" /><c r="D45" s="7" t="n" /><c r="E45" s="7" t="n" /><c r="F45" s="7" t="n" /><c r="G45" s="7" t="n" /><c r="H45" s="7" t="n" /><c r="I45" s="7" t="n" /><c r="J45" s="7" t="n" /><c r="K45" s="7" t="n" /><c r="L45" s="7" t="n" /><c r="M45" s="7" t="n" /><c r="N45" s="7" t="n" /><c r="O45" s="7" t="n" /><c r="P45" s="7" t="n" /><c r="Q45" s="7" t="n" /><c r="R45" s="7" t="n" /><c r="S45" s="7" t="n" /><c r="T45" s="7" t="n" /></row><row r="46" ht="42" customHeight="1"><c r="A46" s="6" t="n" /><c r="B46" s="6" t="n" /><c r="C46" s="6" t="n" /><c r="D46" s="6" t="n" /><c r="E46" s="6" t="n" /><c r="F46" s="6" t="n" /><c r="G46" s="6" t="n" /><c r="H46" s="6" t="n" /><c r="I46" s="6" t="n" /><c r="J46" s="6" t="n" /><c r="K46" s="6" t="n" /><c r="L46" s="6" t="n" /><c r="M46" s="6" t="n" /><c r="N46" s="6" t="n" /><c r="O46" s="6" t="n" /><c r="P46" s="6" t="n" /><c r="Q46" s="6" t="n" /><c r="R46" s="6" t="n" /><c r="S46" s="6" t="n" /><c r="T46" s="6" t="n" /></row><row r="47" ht="42" customHeight="1"><c r="A47" s="7" t="n" /><c r="B47" s="7" t="n" /><c r="C47" s="7" t="n" /><c r="D47" s="7" t="n" /><c r="E47" s="7" t="n" /><c r="F47" s="7" t="n" /><c r="G47" s="7" t="n" /><c r="H47" s="7" t="n" /><c r="I47" s="7" t="n" /><c r="J47" s="7" t="n" /><c r="K47" s="7" t="n" /><c r="L47" s="7" t="n" /><c r="M47" s="7" t="n" /><c r="N47" s="7" t="n" /><c r="O47" s="7" t="n" /><c r="P47" s="7" t="n" /><c r="Q47" s="7" t="n" /><c r="R47" s="7" t="n" /><c r="S47" s="7" t="n" /><c r="T47" s="7" t="n" /></row><row r="48" ht="42" customHeight="1"><c r="A48" s="6" t="n" /><c r="B48" s="6" t="n" /><c r="C48" s="6" t="n" /><c r="D48" s="6" t="n" /><c r="E48" s="6" t="n" /><c r="F48" s="6" t="n" /><c r="G48" s="6" t="n" /><c r="H48" s="6" t="n" /><c r="I48" s="6" t="n" /><c r="J48" s="6" t="n" /><c r="K48" s="6" t="n" /><c r="L48" s="6" t="n" /><c r="M48" s="6" t="n" /><c r="N48" s="6" t="n" /><c r="O48" s="6" t="n" /><c r="P48" s="6" t="n" /><c r="Q48" s="6" t="n" /><c r="R48" s="6" t="n" /><c r="S48" s="6" t="n" /><c r="T48" s="6" t="n" /></row><row r="49" ht="42" customHeight="1"><c r="A49" s="7" t="n" /><c r="B49" s="7" t="n" /><c r="C49" s="7" t="n" /><c r="D49" s="7" t="n" /><c r="E49" s="7" t="n" /><c r="F49" s="7" t="n" /><c r="G49" s="7" t="n" /><c r="H49" s="7" t="n" /><c r="I49" s="7" t="n" /><c r="J49" s="7" t="n" /><c r="K49" s="7" t="n" /><c r="L49" s="7" t="n" /><c r="M49" s="7" t="n" /><c r="N49" s="7" t="n" /><c r="O49" s="7" t="n" /><c r="P49" s="7" t="n" /><c r="Q49" s="7" t="n" /><c r="R49" s="7" t="n" /><c r="S49" s="7" t="n" /><c r="T49" s="7" t="n" /></row><row r="50" ht="42" customHeight="1"><c r="A50" s="6" t="n" /><c r="B50" s="6" t="n" /><c r="C50" s="6" t="n" /><c r="D50" s="6" t="n" /><c r="E50" s="6" t="n" /><c r="F50" s="6" t="n" /><c r="G50" s="6" t="n" /><c r="H50" s="6" t="n" /><c r="I50" s="6" t="n" /><c r="J50" s="6" t="n" /><c r="K50" s="6" t="n" /><c r="L50" s="6" t="n" /><c r="M50" s="6" t="n" /><c r="N50" s="6" t="n" /><c r="O50" s="6" t="n" /><c r="P50" s="6" t="n" /><c r="Q50" s="6" t="n" /><c r="R50" s="6" t="n" /><c r="S50" s="6" t="n" /><c r="T50" s="6" t="n" /></row><row r="51" ht="42" customHeight="1"><c r="A51" s="7" t="n" /><c r="B51" s="7" t="n" /><c r="C51" s="7" t="n" /><c r="D51" s="7" t="n" /><c r="E51" s="7" t="n" /><c r="F51" s="7" t="n" /><c r="G51" s="7" t="n" /><c r="H51" s="7" t="n" /><c r="I51" s="7" t="n" /><c r="J51" s="7" t="n" /><c r="K51" s="7" t="n" /><c r="L51" s="7" t="n" /><c r="M51" s="7" t="n" /><c r="N51" s="7" t="n" /><c r="O51" s="7" t="n" /><c r="P51" s="7" t="n" /><c r="Q51" s="7" t="n" /><c r="R51" s="7" t="n" /><c r="S51" s="7" t="n" /><c r="T51" s="7" t="n" /></row><row r="52" ht="42" customHeight="1"><c r="A52" s="6" t="n" /><c r="B52" s="6" t="n" /><c r="C52" s="6" t="n" /><c r="D52" s="6" t="n" /><c r="E52" s="6" t="n" /><c r="F52" s="6" t="n" /><c r="G52" s="6" t="n" /><c r="H52" s="6" t="n" /><c r="I52" s="6" t="n" /><c r="J52" s="6" t="n" /><c r="K52" s="6" t="n" /><c r="L52" s="6" t="n" /><c r="M52" s="6" t="n" /><c r="N52" s="6" t="n" /><c r="O52" s="6" t="n" /><c r="P52" s="6" t="n" /><c r="Q52" s="6" t="n" /><c r="R52" s="6" t="n" /><c r="S52" s="6" t="n" /><c r="T52" s="6" t="n" /></row><row r="53" ht="42" customHeight="1"><c r="A53" s="7" t="n" /><c r="B53" s="7" t="n" /><c r="C53" s="7" t="n" /><c r="D53" s="7" t="n" /><c r="E53" s="7" t="n" /><c r="F53" s="7" t="n" /><c r="G53" s="7" t="n" /><c r="H53" s="7" t="n" /><c r="I53" s="7" t="n" /><c r="J53" s="7" t="n" /><c r="K53" s="7" t="n" /><c r="L53" s="7" t="n" /><c r="M53" s="7" t="n" /><c r="N53" s="7" t="n" /><c r="O53" s="7" t="n" /><c r="P53" s="7" t="n" /><c r="Q53" s="7" t="n" /><c r="R53" s="7" t="n" /><c r="S53" s="7" t="n" /><c r="T53" s="7" t="n" /></row><row r="54" ht="42" customHeight="1"><c r="A54" s="6" t="n" /><c r="B54" s="6" t="n" /><c r="C54" s="6" t="n" /><c r="D54" s="6" t="n" /><c r="E54" s="6" t="n" /><c r="F54" s="6" t="n" /><c r="G54" s="6" t="n" /><c r="H54" s="6" t="n" /><c r="I54" s="6" t="n" /><c r="J54" s="6" t="n" /><c r="K54" s="6" t="n" /><c r="L54" s="6" t="n" /><c r="M54" s="6" t="n" /><c r="N54" s="6" t="n" /><c r="O54" s="6" t="n" /><c r="P54" s="6" t="n" /><c r="Q54" s="6" t="n" /><c r="R54" s="6" t="n" /><c r="S54" s="6" t="n" /><c r="T54" s="6" t="n" /></row><row r="55" ht="42" customHeight="1"><c r="A55" s="7" t="n" /><c r="B55" s="7" t="n" /><c r="C55" s="7" t="n" /><c r="D55" s="7" t="n" /><c r="E55" s="7" t="n" /><c r="F55" s="7" t="n" /><c r="G55" s="7" t="n" /><c r="H55" s="7" t="n" /><c r="I55" s="7" t="n" /><c r="J55" s="7" t="n" /><c r="K55" s="7" t="n" /><c r="L55" s="7" t="n" /><c r="M55" s="7" t="n" /><c r="N55" s="7" t="n" /><c r="O55" s="7" t="n" /><c r="P55" s="7" t="n" /><c r="Q55" s="7" t="n" /><c r="R55" s="7" t="n" /><c r="S55" s="7" t="n" /><c r="T55" s="7" t="n" /></row><row r="56" ht="42" customHeight="1"><c r="A56" s="6" t="n" /><c r="B56" s="6" t="n" /><c r="C56" s="6" t="n" /><c r="D56" s="6" t="n" /><c r="E56" s="6" t="n" /><c r="F56" s="6" t="n" /><c r="G56" s="6" t="n" /><c r="H56" s="6" t="n" /><c r="I56" s="6" t="n" /><c r="J56" s="6" t="n" /><c r="K56" s="6" t="n" /><c r="L56" s="6" t="n" /><c r="M56" s="6" t="n" /><c r="N56" s="6" t="n" /><c r="O56" s="6" t="n" /><c r="P56" s="6" t="n" /><c r="Q56" s="6" t="n" /><c r="R56" s="6" t="n" /><c r="S56" s="6" t="n" /><c r="T56" s="6" t="n" /></row><row r="57" ht="42" customHeight="1"><c r="A57" s="7" t="n" /><c r="B57" s="7" t="n" /><c r="C57" s="7" t="n" /><c r="D57" s="7" t="n" /><c r="E57" s="7" t="n" /><c r="F57" s="7" t="n" /><c r="G57" s="7" t="n" /><c r="H57" s="7" t="n" /><c r="I57" s="7" t="n" /><c r="J57" s="7" t="n" /><c r="K57" s="7" t="n" /><c r="L57" s="7" t="n" /><c r="M57" s="7" t="n" /><c r="N57" s="7" t="n" /><c r="O57" s="7" t="n" /><c r="P57" s="7" t="n" /><c r="Q57" s="7" t="n" /><c r="R57" s="7" t="n" /><c r="S57" s="7" t="n" /><c r="T57" s="7" t="n" /></row><row r="58" ht="42" customHeight="1"><c r="A58" s="6" t="n" /><c r="B58" s="6" t="n" /><c r="C58" s="6" t="n" /><c r="D58" s="6" t="n" /><c r="E58" s="6" t="n" /><c r="F58" s="6" t="n" /><c r="G58" s="6" t="n" /><c r="H58" s="6" t="n" /><c r="I58" s="6" t="n" /><c r="J58" s="6" t="n" /><c r="K58" s="6" t="n" /><c r="L58" s="6" t="n" /><c r="M58" s="6" t="n" /><c r="N58" s="6" t="n" /><c r="O58" s="6" t="n" /><c r="P58" s="6" t="n" /><c r="Q58" s="6" t="n" /><c r="R58" s="6" t="n" /><c r="S58" s="6" t="n" /><c r="T58" s="6" t="n" /></row><row r="59" ht="42" customHeight="1"><c r="A59" s="7" t="n" /><c r="B59" s="7" t="n" /><c r="C59" s="7" t="n" /><c r="D59" s="7" t="n" /><c r="E59" s="7" t="n" /><c r="F59" s="7" t="n" /><c r="G59" s="7" t="n" /><c r="H59" s="7" t="n" /><c r="I59" s="7" t="n" /><c r="J59" s="7" t="n" /><c r="K59" s="7" t="n" /><c r="L59" s="7" t="n" /><c r="M59" s="7" t="n" /><c r="N59" s="7" t="n" /><c r="O59" s="7" t="n" /><c r="P59" s="7" t="n" /><c r="Q59" s="7" t="n" /><c r="R59" s="7" t="n" /><c r="S59" s="7" t="n" /><c r="T59" s="7" t="n" /></row><row r="60" ht="42" customHeight="1"><c r="A60" s="6" t="n" /><c r="B60" s="6" t="n" /><c r="C60" s="6" t="n" /><c r="D60" s="6" t="n" /><c r="E60" s="6" t="n" /><c r="F60" s="6" t="n" /><c r="G60" s="6" t="n" /><c r="H60" s="6" t="n" /><c r="I60" s="6" t="n" /><c r="J60" s="6" t="n" /><c r="K60" s="6" t="n" /><c r="L60" s="6" t="n" /><c r="M60" s="6" t="n" /><c r="N60" s="6" t="n" /><c r="O60" s="6" t="n" /><c r="P60" s="6" t="n" /><c r="Q60" s="6" t="n" /><c r="R60" s="6" t="n" /><c r="S60" s="6" t="n" /><c r="T60" s="6" t="n" /></row></sheetData><mergeCells count="1"><mergeCell ref="A1:T1" /></mergeCells><conditionalFormatting sqref="R3:R60"><cfRule type="cellIs" priority="1" operator="equal" dxfId="0"><formula>"阻塞 Blocked"</formula></cfRule><cfRule type="cellIs" priority="2" operator="equal" dxfId="1"><formula>"已完成 Done"</formula></cfRule><cfRule type="cellIs" priority="3" operator="equal" dxfId="2"><formula>"进行中 In Progress"</formula></cfRule><cfRule type="cellIs" priority="4" operator="equal" dxfId="3"><formula>"取消 Cancelled"</formula></cfRule></conditionalFormatting><conditionalFormatting sqref="I3:I60"><cfRule type="cellIs" priority="5" operator="equal" dxfId="0"><formula>"高 High"</formula></cfRule></conditionalFormatting><conditionalFormatting sqref="L3:L60"><cfRule type="dataBar" priority="6"><dataBar showValue="1"><cfvo type="num" val="0" /><cfvo type="num" val="1" /><color rgb="003B82F6" /></dataBar></cfRule></conditionalFormatting><dataValidations count="7"><dataValidation sqref="B3:B60" showDropDown="0" showInputMessage="0" showErrorMessage="0" allowBlank="1" errorTitle="无效输入" error="请从下拉列表中选择" type="list"><formula1>"核心系统 Core,网银系统 e-Banking,公共 Common,接口/集成 Integration"</formula1></dataValidation><dataValidation sqref="C3:C60" showDropDown="0" showInputMessage="0" showErrorMessage="0" allowBlank="1" errorTitle="无效输入" error="请从下拉列表中选择" type="list"><formula1>"客户管理 Customer,存款 Deposit,贷款 Lending,支付清算 Payment,总账 GL,风控 Risk,反洗钱 AML,报表 Reports,渠道 Channel,用户权限 IAM,数据迁移 Migration,其他 Others"</formula1></dataValidation><dataValidation sqref="G3:G60" showDropDown="0" showInputMessage="0" showErrorMessage="0" allowBlank="1" errorTitle="无效输入" error="请从下拉列表中选择" type="list"><formula1>"新增 New,修改 Modify,删除 Remove,范围扩大 Scope+,性能 Performance,数据结构 Data Schema,流程调整 Process,其他 Other"</formula1></dataValidation><dataValidation sqref="I3:I60" showDropDown="0" showInputMessage="0" showErrorMessage="0" allowBlank="1" errorTitle="无效输入" error="请从下拉列表中选择" type="list"><formula1>"高 High,中 Medium,低 Low"</formula1></dataValidation><dataValidation sqref="K3:K60" showDropDown="0" showInputMessage="0" showErrorMessage="0" allowBlank="1" errorTitle="无效输入" error="请从下拉列表中选择" type="list"><formula1>"需求调研 Discovery,差异分析 Gap Analysis,方案确认 Solution Confirm,方案评审 Solution Review,待开发 Ready for Dev,已闭环 Closed"</formula1></dataValidation><dataValidation sqref="R3:R60" showDropDown="0" showInputMessage="0" showErrorMessage="0" allowBlank="1" errorTitle="无效输入" error="请从下拉列表中选择" type="list"><formula1>"进行中 In Progress,已完成 Done,阻塞 Blocked,取消 Cancelled"</formula1></dataValidation><dataValidation sqref="L3:L60" showDropDown="0" showInputMessage="0" showErrorMessage="0" allowBlank="1" errorTitle="进度超出范围" error="请输入 0–100% 之间的数值（如 0.3）" type="decimal" operator="between"><formula1>0</formula1><formula2>1</formula2></dataValidation></dataValidations><pageMargins left="0.75" right="0.75" top="1" bottom="1" header="0.5" footer="0.5" /><legacyDrawing xmlns:r="http://schemas.openxmlformats.org/officeDocument/2006/relationships" r:id="anysvml" /><drawing r:id="rId1"/>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0010B981"/>
    <outlinePr summaryBelow="1" summaryRight="1"/>
    <pageSetUpPr/>
  </sheetPr>
  <dimension ref="A1:K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26" customWidth="1" min="11" max="11"/>
  </cols>
  <sheetData>
    <row r="1" ht="26" customHeight="1">
      <c r="A1" s="1" t="inlineStr">
        <is>
          <t>K Bank 差异需求 模块总览</t>
        </is>
      </c>
    </row>
    <row r="2" ht="40" customHeight="1">
      <c r="A2" s="4" t="inlineStr">
        <is>
          <t>系统 System</t>
        </is>
      </c>
      <c r="B2" s="4" t="inlineStr">
        <is>
          <t>一级模块 Module L1</t>
        </is>
      </c>
      <c r="C2" s="4" t="inlineStr">
        <is>
          <t>负责BA BA Owner</t>
        </is>
      </c>
      <c r="D2" s="4" t="inlineStr">
        <is>
          <t>差异总数 Total</t>
        </is>
      </c>
      <c r="E2" s="4" t="inlineStr">
        <is>
          <t>进行中 In Progress</t>
        </is>
      </c>
      <c r="F2" s="4" t="inlineStr">
        <is>
          <t>已完成 Done</t>
        </is>
      </c>
      <c r="G2" s="4" t="inlineStr">
        <is>
          <t>阻塞 Blocked</t>
        </is>
      </c>
      <c r="H2" s="4" t="inlineStr">
        <is>
          <t>平均进度% Avg Progress</t>
        </is>
      </c>
      <c r="I2" s="4" t="inlineStr">
        <is>
          <t>待确认问题数 Open Q</t>
        </is>
      </c>
      <c r="J2" s="4" t="inlineStr">
        <is>
          <t>风险等级 Risk</t>
        </is>
      </c>
      <c r="K2" s="4" t="inlineStr">
        <is>
          <t>备注 Remarks</t>
        </is>
      </c>
    </row>
    <row r="3" ht="26" customHeight="1">
      <c r="A3" s="9" t="inlineStr">
        <is>
          <t>核心系统 Core</t>
        </is>
      </c>
      <c r="B3" s="9" t="inlineStr">
        <is>
          <t>存款 Deposit</t>
        </is>
      </c>
      <c r="C3" s="9" t="n"/>
      <c r="D3" s="9">
        <f>COUNTIFS('差异需求追踪主表 Gap Tracking'!$B$3:$B$60,$A3,'差异需求追踪主表 Gap Tracking'!$C$3:$C$60,$B3)</f>
        <v/>
      </c>
      <c r="E3" s="9">
        <f>COUNTIFS('差异需求追踪主表 Gap Tracking'!$B$3:$B$60,$A3,'差异需求追踪主表 Gap Tracking'!$C$3:$C$60,$B3,'差异需求追踪主表 Gap Tracking'!$R$3:$R$60,"进行中 In Progress")</f>
        <v/>
      </c>
      <c r="F3" s="9">
        <f>COUNTIFS('差异需求追踪主表 Gap Tracking'!$B$3:$B$60,$A3,'差异需求追踪主表 Gap Tracking'!$C$3:$C$60,$B3,'差异需求追踪主表 Gap Tracking'!$R$3:$R$60,"已完成 Done")</f>
        <v/>
      </c>
      <c r="G3" s="9">
        <f>COUNTIFS('差异需求追踪主表 Gap Tracking'!$B$3:$B$60,$A3,'差异需求追踪主表 Gap Tracking'!$C$3:$C$60,$B3,'差异需求追踪主表 Gap Tracking'!$R$3:$R$60,"阻塞 Blocked")</f>
        <v/>
      </c>
      <c r="H3" s="10">
        <f>IFERROR(AVERAGEIFS('差异需求追踪主表 Gap Tracking'!$L$3:$L$60,'差异需求追踪主表 Gap Tracking'!$B$3:$B$60,$A3,'差异需求追踪主表 Gap Tracking'!$C$3:$C$60,$B3),0)</f>
        <v/>
      </c>
      <c r="I3" s="9">
        <f>COUNTIFS('差异需求追踪主表 Gap Tracking'!$B$3:$B$60,$A3,'差异需求追踪主表 Gap Tracking'!$C$3:$C$60,$B3,'差异需求追踪主表 Gap Tracking'!$N$3:$N$60,"&lt;&gt;")-COUNTIFS('差异需求追踪主表 Gap Tracking'!$B$3:$B$60,$A3,'差异需求追踪主表 Gap Tracking'!$C$3:$C$60,$B3,'差异需求追踪主表 Gap Tracking'!$N$3:$N$60,"")</f>
        <v/>
      </c>
      <c r="J3" s="9" t="n"/>
      <c r="K3" s="11" t="n"/>
    </row>
    <row r="4" ht="26" customHeight="1">
      <c r="A4" s="12" t="inlineStr">
        <is>
          <t>核心系统 Core</t>
        </is>
      </c>
      <c r="B4" s="12" t="inlineStr">
        <is>
          <t>贷款 Lending</t>
        </is>
      </c>
      <c r="C4" s="12" t="n"/>
      <c r="D4" s="12">
        <f>COUNTIFS('差异需求追踪主表 Gap Tracking'!$B$3:$B$60,$A4,'差异需求追踪主表 Gap Tracking'!$C$3:$C$60,$B4)</f>
        <v/>
      </c>
      <c r="E4" s="12">
        <f>COUNTIFS('差异需求追踪主表 Gap Tracking'!$B$3:$B$60,$A4,'差异需求追踪主表 Gap Tracking'!$C$3:$C$60,$B4,'差异需求追踪主表 Gap Tracking'!$R$3:$R$60,"进行中 In Progress")</f>
        <v/>
      </c>
      <c r="F4" s="12">
        <f>COUNTIFS('差异需求追踪主表 Gap Tracking'!$B$3:$B$60,$A4,'差异需求追踪主表 Gap Tracking'!$C$3:$C$60,$B4,'差异需求追踪主表 Gap Tracking'!$R$3:$R$60,"已完成 Done")</f>
        <v/>
      </c>
      <c r="G4" s="12">
        <f>COUNTIFS('差异需求追踪主表 Gap Tracking'!$B$3:$B$60,$A4,'差异需求追踪主表 Gap Tracking'!$C$3:$C$60,$B4,'差异需求追踪主表 Gap Tracking'!$R$3:$R$60,"阻塞 Blocked")</f>
        <v/>
      </c>
      <c r="H4" s="13">
        <f>IFERROR(AVERAGEIFS('差异需求追踪主表 Gap Tracking'!$L$3:$L$60,'差异需求追踪主表 Gap Tracking'!$B$3:$B$60,$A4,'差异需求追踪主表 Gap Tracking'!$C$3:$C$60,$B4),0)</f>
        <v/>
      </c>
      <c r="I4" s="12">
        <f>COUNTIFS('差异需求追踪主表 Gap Tracking'!$B$3:$B$60,$A4,'差异需求追踪主表 Gap Tracking'!$C$3:$C$60,$B4,'差异需求追踪主表 Gap Tracking'!$N$3:$N$60,"&lt;&gt;")-COUNTIFS('差异需求追踪主表 Gap Tracking'!$B$3:$B$60,$A4,'差异需求追踪主表 Gap Tracking'!$C$3:$C$60,$B4,'差异需求追踪主表 Gap Tracking'!$N$3:$N$60,"")</f>
        <v/>
      </c>
      <c r="J4" s="12" t="n"/>
      <c r="K4" s="14" t="n"/>
    </row>
    <row r="5" ht="26" customHeight="1">
      <c r="A5" s="9" t="inlineStr">
        <is>
          <t>核心系统 Core</t>
        </is>
      </c>
      <c r="B5" s="9" t="inlineStr">
        <is>
          <t>支付清算 Payment</t>
        </is>
      </c>
      <c r="C5" s="9" t="n"/>
      <c r="D5" s="9">
        <f>COUNTIFS('差异需求追踪主表 Gap Tracking'!$B$3:$B$60,$A5,'差异需求追踪主表 Gap Tracking'!$C$3:$C$60,$B5)</f>
        <v/>
      </c>
      <c r="E5" s="9">
        <f>COUNTIFS('差异需求追踪主表 Gap Tracking'!$B$3:$B$60,$A5,'差异需求追踪主表 Gap Tracking'!$C$3:$C$60,$B5,'差异需求追踪主表 Gap Tracking'!$R$3:$R$60,"进行中 In Progress")</f>
        <v/>
      </c>
      <c r="F5" s="9">
        <f>COUNTIFS('差异需求追踪主表 Gap Tracking'!$B$3:$B$60,$A5,'差异需求追踪主表 Gap Tracking'!$C$3:$C$60,$B5,'差异需求追踪主表 Gap Tracking'!$R$3:$R$60,"已完成 Done")</f>
        <v/>
      </c>
      <c r="G5" s="9">
        <f>COUNTIFS('差异需求追踪主表 Gap Tracking'!$B$3:$B$60,$A5,'差异需求追踪主表 Gap Tracking'!$C$3:$C$60,$B5,'差异需求追踪主表 Gap Tracking'!$R$3:$R$60,"阻塞 Blocked")</f>
        <v/>
      </c>
      <c r="H5" s="10">
        <f>IFERROR(AVERAGEIFS('差异需求追踪主表 Gap Tracking'!$L$3:$L$60,'差异需求追踪主表 Gap Tracking'!$B$3:$B$60,$A5,'差异需求追踪主表 Gap Tracking'!$C$3:$C$60,$B5),0)</f>
        <v/>
      </c>
      <c r="I5" s="9">
        <f>COUNTIFS('差异需求追踪主表 Gap Tracking'!$B$3:$B$60,$A5,'差异需求追踪主表 Gap Tracking'!$C$3:$C$60,$B5,'差异需求追踪主表 Gap Tracking'!$N$3:$N$60,"&lt;&gt;")-COUNTIFS('差异需求追踪主表 Gap Tracking'!$B$3:$B$60,$A5,'差异需求追踪主表 Gap Tracking'!$C$3:$C$60,$B5,'差异需求追踪主表 Gap Tracking'!$N$3:$N$60,"")</f>
        <v/>
      </c>
      <c r="J5" s="9" t="n"/>
      <c r="K5" s="11" t="n"/>
    </row>
    <row r="6" ht="26" customHeight="1">
      <c r="A6" s="12" t="inlineStr">
        <is>
          <t>核心系统 Core</t>
        </is>
      </c>
      <c r="B6" s="12" t="inlineStr">
        <is>
          <t>总账 GL</t>
        </is>
      </c>
      <c r="C6" s="12" t="n"/>
      <c r="D6" s="12">
        <f>COUNTIFS('差异需求追踪主表 Gap Tracking'!$B$3:$B$60,$A6,'差异需求追踪主表 Gap Tracking'!$C$3:$C$60,$B6)</f>
        <v/>
      </c>
      <c r="E6" s="12">
        <f>COUNTIFS('差异需求追踪主表 Gap Tracking'!$B$3:$B$60,$A6,'差异需求追踪主表 Gap Tracking'!$C$3:$C$60,$B6,'差异需求追踪主表 Gap Tracking'!$R$3:$R$60,"进行中 In Progress")</f>
        <v/>
      </c>
      <c r="F6" s="12">
        <f>COUNTIFS('差异需求追踪主表 Gap Tracking'!$B$3:$B$60,$A6,'差异需求追踪主表 Gap Tracking'!$C$3:$C$60,$B6,'差异需求追踪主表 Gap Tracking'!$R$3:$R$60,"已完成 Done")</f>
        <v/>
      </c>
      <c r="G6" s="12">
        <f>COUNTIFS('差异需求追踪主表 Gap Tracking'!$B$3:$B$60,$A6,'差异需求追踪主表 Gap Tracking'!$C$3:$C$60,$B6,'差异需求追踪主表 Gap Tracking'!$R$3:$R$60,"阻塞 Blocked")</f>
        <v/>
      </c>
      <c r="H6" s="13">
        <f>IFERROR(AVERAGEIFS('差异需求追踪主表 Gap Tracking'!$L$3:$L$60,'差异需求追踪主表 Gap Tracking'!$B$3:$B$60,$A6,'差异需求追踪主表 Gap Tracking'!$C$3:$C$60,$B6),0)</f>
        <v/>
      </c>
      <c r="I6" s="12">
        <f>COUNTIFS('差异需求追踪主表 Gap Tracking'!$B$3:$B$60,$A6,'差异需求追踪主表 Gap Tracking'!$C$3:$C$60,$B6,'差异需求追踪主表 Gap Tracking'!$N$3:$N$60,"&lt;&gt;")-COUNTIFS('差异需求追踪主表 Gap Tracking'!$B$3:$B$60,$A6,'差异需求追踪主表 Gap Tracking'!$C$3:$C$60,$B6,'差异需求追踪主表 Gap Tracking'!$N$3:$N$60,"")</f>
        <v/>
      </c>
      <c r="J6" s="12" t="n"/>
      <c r="K6" s="14" t="n"/>
    </row>
    <row r="7" ht="26" customHeight="1">
      <c r="A7" s="9" t="inlineStr">
        <is>
          <t>核心系统 Core</t>
        </is>
      </c>
      <c r="B7" s="9" t="inlineStr">
        <is>
          <t>客户管理 Customer</t>
        </is>
      </c>
      <c r="C7" s="9" t="n"/>
      <c r="D7" s="9">
        <f>COUNTIFS('差异需求追踪主表 Gap Tracking'!$B$3:$B$60,$A7,'差异需求追踪主表 Gap Tracking'!$C$3:$C$60,$B7)</f>
        <v/>
      </c>
      <c r="E7" s="9">
        <f>COUNTIFS('差异需求追踪主表 Gap Tracking'!$B$3:$B$60,$A7,'差异需求追踪主表 Gap Tracking'!$C$3:$C$60,$B7,'差异需求追踪主表 Gap Tracking'!$R$3:$R$60,"进行中 In Progress")</f>
        <v/>
      </c>
      <c r="F7" s="9">
        <f>COUNTIFS('差异需求追踪主表 Gap Tracking'!$B$3:$B$60,$A7,'差异需求追踪主表 Gap Tracking'!$C$3:$C$60,$B7,'差异需求追踪主表 Gap Tracking'!$R$3:$R$60,"已完成 Done")</f>
        <v/>
      </c>
      <c r="G7" s="9">
        <f>COUNTIFS('差异需求追踪主表 Gap Tracking'!$B$3:$B$60,$A7,'差异需求追踪主表 Gap Tracking'!$C$3:$C$60,$B7,'差异需求追踪主表 Gap Tracking'!$R$3:$R$60,"阻塞 Blocked")</f>
        <v/>
      </c>
      <c r="H7" s="10">
        <f>IFERROR(AVERAGEIFS('差异需求追踪主表 Gap Tracking'!$L$3:$L$60,'差异需求追踪主表 Gap Tracking'!$B$3:$B$60,$A7,'差异需求追踪主表 Gap Tracking'!$C$3:$C$60,$B7),0)</f>
        <v/>
      </c>
      <c r="I7" s="9">
        <f>COUNTIFS('差异需求追踪主表 Gap Tracking'!$B$3:$B$60,$A7,'差异需求追踪主表 Gap Tracking'!$C$3:$C$60,$B7,'差异需求追踪主表 Gap Tracking'!$N$3:$N$60,"&lt;&gt;")-COUNTIFS('差异需求追踪主表 Gap Tracking'!$B$3:$B$60,$A7,'差异需求追踪主表 Gap Tracking'!$C$3:$C$60,$B7,'差异需求追踪主表 Gap Tracking'!$N$3:$N$60,"")</f>
        <v/>
      </c>
      <c r="J7" s="9" t="n"/>
      <c r="K7" s="11" t="n"/>
    </row>
    <row r="8" ht="26" customHeight="1">
      <c r="A8" s="12" t="inlineStr">
        <is>
          <t>核心系统 Core</t>
        </is>
      </c>
      <c r="B8" s="12" t="inlineStr">
        <is>
          <t>反洗钱 AML</t>
        </is>
      </c>
      <c r="C8" s="12" t="n"/>
      <c r="D8" s="12">
        <f>COUNTIFS('差异需求追踪主表 Gap Tracking'!$B$3:$B$60,$A8,'差异需求追踪主表 Gap Tracking'!$C$3:$C$60,$B8)</f>
        <v/>
      </c>
      <c r="E8" s="12">
        <f>COUNTIFS('差异需求追踪主表 Gap Tracking'!$B$3:$B$60,$A8,'差异需求追踪主表 Gap Tracking'!$C$3:$C$60,$B8,'差异需求追踪主表 Gap Tracking'!$R$3:$R$60,"进行中 In Progress")</f>
        <v/>
      </c>
      <c r="F8" s="12">
        <f>COUNTIFS('差异需求追踪主表 Gap Tracking'!$B$3:$B$60,$A8,'差异需求追踪主表 Gap Tracking'!$C$3:$C$60,$B8,'差异需求追踪主表 Gap Tracking'!$R$3:$R$60,"已完成 Done")</f>
        <v/>
      </c>
      <c r="G8" s="12">
        <f>COUNTIFS('差异需求追踪主表 Gap Tracking'!$B$3:$B$60,$A8,'差异需求追踪主表 Gap Tracking'!$C$3:$C$60,$B8,'差异需求追踪主表 Gap Tracking'!$R$3:$R$60,"阻塞 Blocked")</f>
        <v/>
      </c>
      <c r="H8" s="13">
        <f>IFERROR(AVERAGEIFS('差异需求追踪主表 Gap Tracking'!$L$3:$L$60,'差异需求追踪主表 Gap Tracking'!$B$3:$B$60,$A8,'差异需求追踪主表 Gap Tracking'!$C$3:$C$60,$B8),0)</f>
        <v/>
      </c>
      <c r="I8" s="12">
        <f>COUNTIFS('差异需求追踪主表 Gap Tracking'!$B$3:$B$60,$A8,'差异需求追踪主表 Gap Tracking'!$C$3:$C$60,$B8,'差异需求追踪主表 Gap Tracking'!$N$3:$N$60,"&lt;&gt;")-COUNTIFS('差异需求追踪主表 Gap Tracking'!$B$3:$B$60,$A8,'差异需求追踪主表 Gap Tracking'!$C$3:$C$60,$B8,'差异需求追踪主表 Gap Tracking'!$N$3:$N$60,"")</f>
        <v/>
      </c>
      <c r="J8" s="12" t="n"/>
      <c r="K8" s="14" t="n"/>
    </row>
    <row r="9" ht="26" customHeight="1">
      <c r="A9" s="9" t="inlineStr">
        <is>
          <t>核心系统 Core</t>
        </is>
      </c>
      <c r="B9" s="9" t="inlineStr">
        <is>
          <t>风控 Risk</t>
        </is>
      </c>
      <c r="C9" s="9" t="n"/>
      <c r="D9" s="9">
        <f>COUNTIFS('差异需求追踪主表 Gap Tracking'!$B$3:$B$60,$A9,'差异需求追踪主表 Gap Tracking'!$C$3:$C$60,$B9)</f>
        <v/>
      </c>
      <c r="E9" s="9">
        <f>COUNTIFS('差异需求追踪主表 Gap Tracking'!$B$3:$B$60,$A9,'差异需求追踪主表 Gap Tracking'!$C$3:$C$60,$B9,'差异需求追踪主表 Gap Tracking'!$R$3:$R$60,"进行中 In Progress")</f>
        <v/>
      </c>
      <c r="F9" s="9">
        <f>COUNTIFS('差异需求追踪主表 Gap Tracking'!$B$3:$B$60,$A9,'差异需求追踪主表 Gap Tracking'!$C$3:$C$60,$B9,'差异需求追踪主表 Gap Tracking'!$R$3:$R$60,"已完成 Done")</f>
        <v/>
      </c>
      <c r="G9" s="9">
        <f>COUNTIFS('差异需求追踪主表 Gap Tracking'!$B$3:$B$60,$A9,'差异需求追踪主表 Gap Tracking'!$C$3:$C$60,$B9,'差异需求追踪主表 Gap Tracking'!$R$3:$R$60,"阻塞 Blocked")</f>
        <v/>
      </c>
      <c r="H9" s="10">
        <f>IFERROR(AVERAGEIFS('差异需求追踪主表 Gap Tracking'!$L$3:$L$60,'差异需求追踪主表 Gap Tracking'!$B$3:$B$60,$A9,'差异需求追踪主表 Gap Tracking'!$C$3:$C$60,$B9),0)</f>
        <v/>
      </c>
      <c r="I9" s="9">
        <f>COUNTIFS('差异需求追踪主表 Gap Tracking'!$B$3:$B$60,$A9,'差异需求追踪主表 Gap Tracking'!$C$3:$C$60,$B9,'差异需求追踪主表 Gap Tracking'!$N$3:$N$60,"&lt;&gt;")-COUNTIFS('差异需求追踪主表 Gap Tracking'!$B$3:$B$60,$A9,'差异需求追踪主表 Gap Tracking'!$C$3:$C$60,$B9,'差异需求追踪主表 Gap Tracking'!$N$3:$N$60,"")</f>
        <v/>
      </c>
      <c r="J9" s="9" t="n"/>
      <c r="K9" s="11" t="n"/>
    </row>
    <row r="10" ht="26" customHeight="1">
      <c r="A10" s="12" t="inlineStr">
        <is>
          <t>核心系统 Core</t>
        </is>
      </c>
      <c r="B10" s="12" t="inlineStr">
        <is>
          <t>报表 Reports</t>
        </is>
      </c>
      <c r="C10" s="12" t="n"/>
      <c r="D10" s="12">
        <f>COUNTIFS('差异需求追踪主表 Gap Tracking'!$B$3:$B$60,$A10,'差异需求追踪主表 Gap Tracking'!$C$3:$C$60,$B10)</f>
        <v/>
      </c>
      <c r="E10" s="12">
        <f>COUNTIFS('差异需求追踪主表 Gap Tracking'!$B$3:$B$60,$A10,'差异需求追踪主表 Gap Tracking'!$C$3:$C$60,$B10,'差异需求追踪主表 Gap Tracking'!$R$3:$R$60,"进行中 In Progress")</f>
        <v/>
      </c>
      <c r="F10" s="12">
        <f>COUNTIFS('差异需求追踪主表 Gap Tracking'!$B$3:$B$60,$A10,'差异需求追踪主表 Gap Tracking'!$C$3:$C$60,$B10,'差异需求追踪主表 Gap Tracking'!$R$3:$R$60,"已完成 Done")</f>
        <v/>
      </c>
      <c r="G10" s="12">
        <f>COUNTIFS('差异需求追踪主表 Gap Tracking'!$B$3:$B$60,$A10,'差异需求追踪主表 Gap Tracking'!$C$3:$C$60,$B10,'差异需求追踪主表 Gap Tracking'!$R$3:$R$60,"阻塞 Blocked")</f>
        <v/>
      </c>
      <c r="H10" s="13">
        <f>IFERROR(AVERAGEIFS('差异需求追踪主表 Gap Tracking'!$L$3:$L$60,'差异需求追踪主表 Gap Tracking'!$B$3:$B$60,$A10,'差异需求追踪主表 Gap Tracking'!$C$3:$C$60,$B10),0)</f>
        <v/>
      </c>
      <c r="I10" s="12">
        <f>COUNTIFS('差异需求追踪主表 Gap Tracking'!$B$3:$B$60,$A10,'差异需求追踪主表 Gap Tracking'!$C$3:$C$60,$B10,'差异需求追踪主表 Gap Tracking'!$N$3:$N$60,"&lt;&gt;")-COUNTIFS('差异需求追踪主表 Gap Tracking'!$B$3:$B$60,$A10,'差异需求追踪主表 Gap Tracking'!$C$3:$C$60,$B10,'差异需求追踪主表 Gap Tracking'!$N$3:$N$60,"")</f>
        <v/>
      </c>
      <c r="J10" s="12" t="n"/>
      <c r="K10" s="14" t="n"/>
    </row>
    <row r="11" ht="26" customHeight="1">
      <c r="A11" s="9" t="inlineStr">
        <is>
          <t>网银系统 e-Banking</t>
        </is>
      </c>
      <c r="B11" s="9" t="inlineStr">
        <is>
          <t>渠道 Channel</t>
        </is>
      </c>
      <c r="C11" s="9" t="n"/>
      <c r="D11" s="9">
        <f>COUNTIFS('差异需求追踪主表 Gap Tracking'!$B$3:$B$60,$A11,'差异需求追踪主表 Gap Tracking'!$C$3:$C$60,$B11)</f>
        <v/>
      </c>
      <c r="E11" s="9">
        <f>COUNTIFS('差异需求追踪主表 Gap Tracking'!$B$3:$B$60,$A11,'差异需求追踪主表 Gap Tracking'!$C$3:$C$60,$B11,'差异需求追踪主表 Gap Tracking'!$R$3:$R$60,"进行中 In Progress")</f>
        <v/>
      </c>
      <c r="F11" s="9">
        <f>COUNTIFS('差异需求追踪主表 Gap Tracking'!$B$3:$B$60,$A11,'差异需求追踪主表 Gap Tracking'!$C$3:$C$60,$B11,'差异需求追踪主表 Gap Tracking'!$R$3:$R$60,"已完成 Done")</f>
        <v/>
      </c>
      <c r="G11" s="9">
        <f>COUNTIFS('差异需求追踪主表 Gap Tracking'!$B$3:$B$60,$A11,'差异需求追踪主表 Gap Tracking'!$C$3:$C$60,$B11,'差异需求追踪主表 Gap Tracking'!$R$3:$R$60,"阻塞 Blocked")</f>
        <v/>
      </c>
      <c r="H11" s="10">
        <f>IFERROR(AVERAGEIFS('差异需求追踪主表 Gap Tracking'!$L$3:$L$60,'差异需求追踪主表 Gap Tracking'!$B$3:$B$60,$A11,'差异需求追踪主表 Gap Tracking'!$C$3:$C$60,$B11),0)</f>
        <v/>
      </c>
      <c r="I11" s="9">
        <f>COUNTIFS('差异需求追踪主表 Gap Tracking'!$B$3:$B$60,$A11,'差异需求追踪主表 Gap Tracking'!$C$3:$C$60,$B11,'差异需求追踪主表 Gap Tracking'!$N$3:$N$60,"&lt;&gt;")-COUNTIFS('差异需求追踪主表 Gap Tracking'!$B$3:$B$60,$A11,'差异需求追踪主表 Gap Tracking'!$C$3:$C$60,$B11,'差异需求追踪主表 Gap Tracking'!$N$3:$N$60,"")</f>
        <v/>
      </c>
      <c r="J11" s="9" t="n"/>
      <c r="K11" s="11" t="n"/>
    </row>
    <row r="12" ht="26" customHeight="1">
      <c r="A12" s="12" t="inlineStr">
        <is>
          <t>网银系统 e-Banking</t>
        </is>
      </c>
      <c r="B12" s="12" t="inlineStr">
        <is>
          <t>用户权限 IAM</t>
        </is>
      </c>
      <c r="C12" s="12" t="n"/>
      <c r="D12" s="12">
        <f>COUNTIFS('差异需求追踪主表 Gap Tracking'!$B$3:$B$60,$A12,'差异需求追踪主表 Gap Tracking'!$C$3:$C$60,$B12)</f>
        <v/>
      </c>
      <c r="E12" s="12">
        <f>COUNTIFS('差异需求追踪主表 Gap Tracking'!$B$3:$B$60,$A12,'差异需求追踪主表 Gap Tracking'!$C$3:$C$60,$B12,'差异需求追踪主表 Gap Tracking'!$R$3:$R$60,"进行中 In Progress")</f>
        <v/>
      </c>
      <c r="F12" s="12">
        <f>COUNTIFS('差异需求追踪主表 Gap Tracking'!$B$3:$B$60,$A12,'差异需求追踪主表 Gap Tracking'!$C$3:$C$60,$B12,'差异需求追踪主表 Gap Tracking'!$R$3:$R$60,"已完成 Done")</f>
        <v/>
      </c>
      <c r="G12" s="12">
        <f>COUNTIFS('差异需求追踪主表 Gap Tracking'!$B$3:$B$60,$A12,'差异需求追踪主表 Gap Tracking'!$C$3:$C$60,$B12,'差异需求追踪主表 Gap Tracking'!$R$3:$R$60,"阻塞 Blocked")</f>
        <v/>
      </c>
      <c r="H12" s="13">
        <f>IFERROR(AVERAGEIFS('差异需求追踪主表 Gap Tracking'!$L$3:$L$60,'差异需求追踪主表 Gap Tracking'!$B$3:$B$60,$A12,'差异需求追踪主表 Gap Tracking'!$C$3:$C$60,$B12),0)</f>
        <v/>
      </c>
      <c r="I12" s="12">
        <f>COUNTIFS('差异需求追踪主表 Gap Tracking'!$B$3:$B$60,$A12,'差异需求追踪主表 Gap Tracking'!$C$3:$C$60,$B12,'差异需求追踪主表 Gap Tracking'!$N$3:$N$60,"&lt;&gt;")-COUNTIFS('差异需求追踪主表 Gap Tracking'!$B$3:$B$60,$A12,'差异需求追踪主表 Gap Tracking'!$C$3:$C$60,$B12,'差异需求追踪主表 Gap Tracking'!$N$3:$N$60,"")</f>
        <v/>
      </c>
      <c r="J12" s="12" t="n"/>
      <c r="K12" s="14" t="n"/>
    </row>
    <row r="13" ht="26" customHeight="1">
      <c r="A13" s="9" t="inlineStr">
        <is>
          <t>公共 Common</t>
        </is>
      </c>
      <c r="B13" s="9" t="inlineStr">
        <is>
          <t>数据迁移 Migration</t>
        </is>
      </c>
      <c r="C13" s="9" t="n"/>
      <c r="D13" s="9">
        <f>COUNTIFS('差异需求追踪主表 Gap Tracking'!$B$3:$B$60,$A13,'差异需求追踪主表 Gap Tracking'!$C$3:$C$60,$B13)</f>
        <v/>
      </c>
      <c r="E13" s="9">
        <f>COUNTIFS('差异需求追踪主表 Gap Tracking'!$B$3:$B$60,$A13,'差异需求追踪主表 Gap Tracking'!$C$3:$C$60,$B13,'差异需求追踪主表 Gap Tracking'!$R$3:$R$60,"进行中 In Progress")</f>
        <v/>
      </c>
      <c r="F13" s="9">
        <f>COUNTIFS('差异需求追踪主表 Gap Tracking'!$B$3:$B$60,$A13,'差异需求追踪主表 Gap Tracking'!$C$3:$C$60,$B13,'差异需求追踪主表 Gap Tracking'!$R$3:$R$60,"已完成 Done")</f>
        <v/>
      </c>
      <c r="G13" s="9">
        <f>COUNTIFS('差异需求追踪主表 Gap Tracking'!$B$3:$B$60,$A13,'差异需求追踪主表 Gap Tracking'!$C$3:$C$60,$B13,'差异需求追踪主表 Gap Tracking'!$R$3:$R$60,"阻塞 Blocked")</f>
        <v/>
      </c>
      <c r="H13" s="10">
        <f>IFERROR(AVERAGEIFS('差异需求追踪主表 Gap Tracking'!$L$3:$L$60,'差异需求追踪主表 Gap Tracking'!$B$3:$B$60,$A13,'差异需求追踪主表 Gap Tracking'!$C$3:$C$60,$B13),0)</f>
        <v/>
      </c>
      <c r="I13" s="9">
        <f>COUNTIFS('差异需求追踪主表 Gap Tracking'!$B$3:$B$60,$A13,'差异需求追踪主表 Gap Tracking'!$C$3:$C$60,$B13,'差异需求追踪主表 Gap Tracking'!$N$3:$N$60,"&lt;&gt;")-COUNTIFS('差异需求追踪主表 Gap Tracking'!$B$3:$B$60,$A13,'差异需求追踪主表 Gap Tracking'!$C$3:$C$60,$B13,'差异需求追踪主表 Gap Tracking'!$N$3:$N$60,"")</f>
        <v/>
      </c>
      <c r="J13" s="9" t="n"/>
      <c r="K13" s="11" t="n"/>
    </row>
    <row r="14" ht="26" customHeight="1">
      <c r="A14" s="12" t="inlineStr">
        <is>
          <t>接口/集成 Integration</t>
        </is>
      </c>
      <c r="B14" s="12" t="inlineStr">
        <is>
          <t>其他 Others</t>
        </is>
      </c>
      <c r="C14" s="12" t="n"/>
      <c r="D14" s="12">
        <f>COUNTIFS('差异需求追踪主表 Gap Tracking'!$B$3:$B$60,$A14,'差异需求追踪主表 Gap Tracking'!$C$3:$C$60,$B14)</f>
        <v/>
      </c>
      <c r="E14" s="12">
        <f>COUNTIFS('差异需求追踪主表 Gap Tracking'!$B$3:$B$60,$A14,'差异需求追踪主表 Gap Tracking'!$C$3:$C$60,$B14,'差异需求追踪主表 Gap Tracking'!$R$3:$R$60,"进行中 In Progress")</f>
        <v/>
      </c>
      <c r="F14" s="12">
        <f>COUNTIFS('差异需求追踪主表 Gap Tracking'!$B$3:$B$60,$A14,'差异需求追踪主表 Gap Tracking'!$C$3:$C$60,$B14,'差异需求追踪主表 Gap Tracking'!$R$3:$R$60,"已完成 Done")</f>
        <v/>
      </c>
      <c r="G14" s="12">
        <f>COUNTIFS('差异需求追踪主表 Gap Tracking'!$B$3:$B$60,$A14,'差异需求追踪主表 Gap Tracking'!$C$3:$C$60,$B14,'差异需求追踪主表 Gap Tracking'!$R$3:$R$60,"阻塞 Blocked")</f>
        <v/>
      </c>
      <c r="H14" s="13">
        <f>IFERROR(AVERAGEIFS('差异需求追踪主表 Gap Tracking'!$L$3:$L$60,'差异需求追踪主表 Gap Tracking'!$B$3:$B$60,$A14,'差异需求追踪主表 Gap Tracking'!$C$3:$C$60,$B14),0)</f>
        <v/>
      </c>
      <c r="I14" s="12">
        <f>COUNTIFS('差异需求追踪主表 Gap Tracking'!$B$3:$B$60,$A14,'差异需求追踪主表 Gap Tracking'!$C$3:$C$60,$B14,'差异需求追踪主表 Gap Tracking'!$N$3:$N$60,"&lt;&gt;")-COUNTIFS('差异需求追踪主表 Gap Tracking'!$B$3:$B$60,$A14,'差异需求追踪主表 Gap Tracking'!$C$3:$C$60,$B14,'差异需求追踪主表 Gap Tracking'!$N$3:$N$60,"")</f>
        <v/>
      </c>
      <c r="J14" s="12" t="n"/>
      <c r="K14" s="14" t="n"/>
    </row>
    <row r="15" ht="28" customHeight="1">
      <c r="A15" s="15" t="inlineStr">
        <is>
          <t>合计 Total</t>
        </is>
      </c>
      <c r="B15" s="15" t="n"/>
      <c r="C15" s="15" t="n"/>
      <c r="D15" s="15">
        <f>SUM(D3:D14)</f>
        <v/>
      </c>
      <c r="E15" s="15">
        <f>SUM(E3:E14)</f>
        <v/>
      </c>
      <c r="F15" s="15">
        <f>SUM(F3:F14)</f>
        <v/>
      </c>
      <c r="G15" s="15">
        <f>SUM(G3:G14)</f>
        <v/>
      </c>
      <c r="H15" s="16">
        <f>IFERROR(AVERAGE(H3:H14),0)</f>
        <v/>
      </c>
      <c r="I15" s="15">
        <f>SUM(I3:I14)</f>
        <v/>
      </c>
      <c r="J15" s="15" t="n"/>
      <c r="K15" s="15" t="n"/>
    </row>
  </sheetData>
  <mergeCells count="1">
    <mergeCell ref="A1:K1"/>
  </mergeCells>
  <conditionalFormatting sqref="G3:G14">
    <cfRule type="cellIs" priority="1" operator="greaterThan" dxfId="0">
      <formula>0</formula>
    </cfRule>
  </conditionalFormatting>
  <conditionalFormatting sqref="H3:H14">
    <cfRule type="dataBar" priority="2">
      <dataBar showValue="1">
        <cfvo type="num" val="0"/>
        <cfvo type="num" val="1"/>
        <color rgb="003B82F6"/>
      </dataBar>
    </cfRule>
  </conditionalFormatting>
  <dataValidations count="1">
    <dataValidation sqref="J3:J14" showDropDown="0" showInputMessage="0" showErrorMessage="0" allowBlank="1" errorTitle="无效输入" error="请从下拉列表中选择" type="list">
      <formula1>"高 High,中 Medium,低 Low"</formula1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00EF4444"/>
    <outlinePr summaryBelow="1" summaryRight="1"/>
    <pageSetUpPr/>
  </sheetPr>
  <dimension ref="A1:O5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8" customWidth="1" min="4" max="4"/>
    <col width="32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6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26" customHeight="1">
      <c r="A1" s="1" t="inlineStr">
        <is>
          <t>K Bank 待确认问题清单 Open Issues Log</t>
        </is>
      </c>
    </row>
    <row r="2" ht="40" customHeight="1">
      <c r="A2" s="4" t="inlineStr">
        <is>
          <t>问题编号 Q ID</t>
        </is>
      </c>
      <c r="B2" s="4" t="inlineStr">
        <is>
          <t>关联 Gap ID</t>
        </is>
      </c>
      <c r="C2" s="4" t="inlineStr">
        <is>
          <t>系统 System</t>
        </is>
      </c>
      <c r="D2" s="4" t="inlineStr">
        <is>
          <t>一级模块 Module L1</t>
        </is>
      </c>
      <c r="E2" s="4" t="inlineStr">
        <is>
          <t>问题描述 Question</t>
        </is>
      </c>
      <c r="F2" s="4" t="inlineStr">
        <is>
          <t>问题类型 Type</t>
        </is>
      </c>
      <c r="G2" s="4" t="inlineStr">
        <is>
          <t>优先级 Priority</t>
        </is>
      </c>
      <c r="H2" s="4" t="inlineStr">
        <is>
          <t>提出人 Raised By</t>
        </is>
      </c>
      <c r="I2" s="4" t="inlineStr">
        <is>
          <t>提出日期 Raised Date</t>
        </is>
      </c>
      <c r="J2" s="4" t="inlineStr">
        <is>
          <t>负责跟进 Owner</t>
        </is>
      </c>
      <c r="K2" s="4" t="inlineStr">
        <is>
          <t>行方接口人 Bank Contact</t>
        </is>
      </c>
      <c r="L2" s="4" t="inlineStr">
        <is>
          <t>计划解决日期 Target Date</t>
        </is>
      </c>
      <c r="M2" s="4" t="inlineStr">
        <is>
          <t>实际解决日期 Actual Date</t>
        </is>
      </c>
      <c r="N2" s="4" t="inlineStr">
        <is>
          <t>状态 Status</t>
        </is>
      </c>
      <c r="O2" s="4" t="inlineStr">
        <is>
          <t>结论/答案 Resolution</t>
        </is>
      </c>
    </row>
    <row r="3" ht="48" customHeight="1">
      <c r="A3" s="7" t="inlineStr">
        <is>
          <t>Q-001</t>
        </is>
      </c>
      <c r="B3" s="7" t="inlineStr">
        <is>
          <t>GR-001</t>
        </is>
      </c>
      <c r="C3" s="7" t="inlineStr">
        <is>
          <t>核心系统 Core</t>
        </is>
      </c>
      <c r="D3" s="7" t="inlineStr">
        <is>
          <t>存款 Deposit</t>
        </is>
      </c>
      <c r="E3" s="7" t="inlineStr">
        <is>
          <t>多币种活期账户的科目映射规则是什么？是否沿用现币种科目？</t>
        </is>
      </c>
      <c r="F3" s="7" t="inlineStr">
        <is>
          <t>业务 Business</t>
        </is>
      </c>
      <c r="G3" s="7" t="inlineStr">
        <is>
          <t>P1 高</t>
        </is>
      </c>
      <c r="H3" s="7" t="inlineStr">
        <is>
          <t>张三</t>
        </is>
      </c>
      <c r="I3" s="7" t="inlineStr">
        <is>
          <t>2026-10-10</t>
        </is>
      </c>
      <c r="J3" s="7" t="inlineStr">
        <is>
          <t>张三</t>
        </is>
      </c>
      <c r="K3" s="7" t="inlineStr">
        <is>
          <t>行方 IT A</t>
        </is>
      </c>
      <c r="L3" s="7" t="inlineStr">
        <is>
          <t>2026-10-18</t>
        </is>
      </c>
      <c r="M3" s="7" t="inlineStr"/>
      <c r="N3" s="7" t="inlineStr">
        <is>
          <t>进行中 In Progress</t>
        </is>
      </c>
      <c r="O3" s="7" t="inlineStr"/>
    </row>
    <row r="4" ht="48" customHeight="1">
      <c r="A4" s="6" t="inlineStr">
        <is>
          <t>Q-002</t>
        </is>
      </c>
      <c r="B4" s="6" t="inlineStr">
        <is>
          <t>GR-003</t>
        </is>
      </c>
      <c r="C4" s="6" t="inlineStr">
        <is>
          <t>核心系统 Core</t>
        </is>
      </c>
      <c r="D4" s="6" t="inlineStr">
        <is>
          <t>反洗钱 AML</t>
        </is>
      </c>
      <c r="E4" s="6" t="inlineStr">
        <is>
          <t>T+0 实时上报接口规范及报送格式是否需监管预先确认？</t>
        </is>
      </c>
      <c r="F4" s="6" t="inlineStr">
        <is>
          <t>合规 Compliance</t>
        </is>
      </c>
      <c r="G4" s="6" t="inlineStr">
        <is>
          <t>P0 紧急</t>
        </is>
      </c>
      <c r="H4" s="6" t="inlineStr">
        <is>
          <t>王五</t>
        </is>
      </c>
      <c r="I4" s="6" t="inlineStr">
        <is>
          <t>2026-10-11</t>
        </is>
      </c>
      <c r="J4" s="6" t="inlineStr">
        <is>
          <t>王五</t>
        </is>
      </c>
      <c r="K4" s="6" t="inlineStr">
        <is>
          <t>行方合规 C</t>
        </is>
      </c>
      <c r="L4" s="6" t="inlineStr">
        <is>
          <t>2026-10-16</t>
        </is>
      </c>
      <c r="M4" s="6" t="inlineStr"/>
      <c r="N4" s="6" t="inlineStr">
        <is>
          <t>阻塞 Blocked</t>
        </is>
      </c>
      <c r="O4" s="6" t="inlineStr">
        <is>
          <t>需外部监管咨询</t>
        </is>
      </c>
    </row>
    <row r="5" ht="36" customHeight="1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</row>
    <row r="6" ht="36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 ht="36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 ht="36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 ht="36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</row>
    <row r="10" ht="36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 ht="36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</row>
    <row r="12" ht="36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 ht="36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</row>
    <row r="14" ht="36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 ht="36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</row>
    <row r="16" ht="36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 ht="36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</row>
    <row r="18" ht="36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 ht="36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</row>
    <row r="20" ht="36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 ht="36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</row>
    <row r="22" ht="36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 ht="36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</row>
    <row r="24" ht="36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</row>
    <row r="25" ht="36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</row>
    <row r="26" ht="36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</row>
    <row r="27" ht="36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36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</row>
    <row r="29" ht="36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</row>
    <row r="30" ht="36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</row>
    <row r="31" ht="36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</row>
    <row r="32" ht="36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</row>
    <row r="33" ht="36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</row>
    <row r="34" ht="36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</row>
    <row r="35" ht="36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</row>
    <row r="36" ht="36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 ht="36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</row>
    <row r="38" ht="36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</row>
    <row r="39" ht="36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</row>
    <row r="40" ht="36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</row>
    <row r="41" ht="36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</row>
    <row r="42" ht="36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</row>
    <row r="43" ht="36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</row>
    <row r="44" ht="36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</row>
    <row r="45" ht="36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</row>
    <row r="46" ht="36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</row>
    <row r="47" ht="36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</row>
    <row r="48" ht="36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</row>
    <row r="49" ht="36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</row>
    <row r="50" ht="36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</sheetData>
  <mergeCells count="1">
    <mergeCell ref="A1:O1"/>
  </mergeCells>
  <conditionalFormatting sqref="G3:G50">
    <cfRule type="cellIs" priority="1" operator="equal" dxfId="0">
      <formula>"P0 紧急"</formula>
    </cfRule>
    <cfRule type="cellIs" priority="2" operator="equal" dxfId="4">
      <formula>"P1 高"</formula>
    </cfRule>
  </conditionalFormatting>
  <conditionalFormatting sqref="N3:N50">
    <cfRule type="cellIs" priority="3" operator="equal" dxfId="0">
      <formula>"阻塞 Blocked"</formula>
    </cfRule>
    <cfRule type="cellIs" priority="4" operator="equal" dxfId="1">
      <formula>"已完成 Done"</formula>
    </cfRule>
    <cfRule type="cellIs" priority="5" operator="equal" dxfId="2">
      <formula>"进行中 In Progress"</formula>
    </cfRule>
  </conditionalFormatting>
  <dataValidations count="5">
    <dataValidation sqref="C3:C50" showDropDown="0" showInputMessage="0" showErrorMessage="0" allowBlank="1" errorTitle="无效输入" error="请从下拉列表中选择" type="list">
      <formula1>"核心系统 Core,网银系统 e-Banking,公共 Common,接口/集成 Integration"</formula1>
    </dataValidation>
    <dataValidation sqref="D3:D50" showDropDown="0" showInputMessage="0" showErrorMessage="0" allowBlank="1" errorTitle="无效输入" error="请从下拉列表中选择" type="list">
      <formula1>"客户管理 Customer,存款 Deposit,贷款 Lending,支付清算 Payment,总账 GL,风控 Risk,反洗钱 AML,报表 Reports,渠道 Channel,用户权限 IAM,数据迁移 Migration,其他 Others"</formula1>
    </dataValidation>
    <dataValidation sqref="F3:F50" showDropDown="0" showInputMessage="0" showErrorMessage="0" allowBlank="1" errorTitle="无效输入" error="请从下拉列表中选择" type="list">
      <formula1>"业务 Business,技术 Technical,范围 Scope,性能 Performance,数据 Data,合规 Compliance"</formula1>
    </dataValidation>
    <dataValidation sqref="G3:G50" showDropDown="0" showInputMessage="0" showErrorMessage="0" allowBlank="1" errorTitle="无效输入" error="请从下拉列表中选择" type="list">
      <formula1>"P0 紧急,P1 高,P2 中,P3 低"</formula1>
    </dataValidation>
    <dataValidation sqref="N3:N50" showDropDown="0" showInputMessage="0" showErrorMessage="0" allowBlank="1" errorTitle="无效输入" error="请从下拉列表中选择" type="list">
      <formula1>"进行中 In Progress,已完成 Done,阻塞 Blocked,取消 Cancelled"</formula1>
    </dataValidation>
  </dataValidation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008B5CF6"/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14" customWidth="1" min="4" max="4"/>
    <col width="12" customWidth="1" min="5" max="5"/>
    <col width="12" customWidth="1" min="6" max="6"/>
    <col width="30" customWidth="1" min="7" max="7"/>
  </cols>
  <sheetData>
    <row r="1" ht="26" customHeight="1">
      <c r="A1" s="1" t="inlineStr">
        <is>
          <t>K Bank BA 责任矩阵</t>
        </is>
      </c>
    </row>
    <row r="2" ht="36" customHeight="1">
      <c r="A2" s="4" t="inlineStr">
        <is>
          <t>BA 姓名 Name</t>
        </is>
      </c>
      <c r="B2" s="4" t="inlineStr">
        <is>
          <t>负责系统 System</t>
        </is>
      </c>
      <c r="C2" s="4" t="inlineStr">
        <is>
          <t>负责一级模块 Module L1</t>
        </is>
      </c>
      <c r="D2" s="4" t="inlineStr">
        <is>
          <t>差异条目数 Total</t>
        </is>
      </c>
      <c r="E2" s="4" t="inlineStr">
        <is>
          <t>已完成 Done</t>
        </is>
      </c>
      <c r="F2" s="4" t="inlineStr">
        <is>
          <t>完成率% Rate</t>
        </is>
      </c>
      <c r="G2" s="4" t="inlineStr">
        <is>
          <t>备注 Remarks</t>
        </is>
      </c>
    </row>
    <row r="3" ht="26" customHeight="1">
      <c r="A3" s="9" t="inlineStr">
        <is>
          <t>张三</t>
        </is>
      </c>
      <c r="B3" s="9" t="inlineStr">
        <is>
          <t>核心系统 Core</t>
        </is>
      </c>
      <c r="C3" s="9" t="inlineStr">
        <is>
          <t>存款 Deposit</t>
        </is>
      </c>
      <c r="D3" s="17">
        <f>COUNTIF('差异需求追踪主表 Gap Tracking'!$O$3:$O$60,$A3)</f>
        <v/>
      </c>
      <c r="E3" s="17">
        <f>COUNTIFS('差异需求追踪主表 Gap Tracking'!$O$3:$O$60,$A3,'差异需求追踪主表 Gap Tracking'!$R$3:$R$60,"已完成 Done")</f>
        <v/>
      </c>
      <c r="F3" s="18">
        <f>IFERROR(E3/D3,0)</f>
        <v/>
      </c>
      <c r="G3" s="17" t="n"/>
    </row>
    <row r="4" ht="26" customHeight="1">
      <c r="A4" s="12" t="inlineStr">
        <is>
          <t>李四</t>
        </is>
      </c>
      <c r="B4" s="12" t="inlineStr">
        <is>
          <t>网银系统 e-Banking</t>
        </is>
      </c>
      <c r="C4" s="12" t="inlineStr">
        <is>
          <t>渠道 Channel</t>
        </is>
      </c>
      <c r="D4" s="19">
        <f>COUNTIF('差异需求追踪主表 Gap Tracking'!$O$3:$O$60,$A4)</f>
        <v/>
      </c>
      <c r="E4" s="19">
        <f>COUNTIFS('差异需求追踪主表 Gap Tracking'!$O$3:$O$60,$A4,'差异需求追踪主表 Gap Tracking'!$R$3:$R$60,"已完成 Done")</f>
        <v/>
      </c>
      <c r="F4" s="20">
        <f>IFERROR(E4/D4,0)</f>
        <v/>
      </c>
      <c r="G4" s="19" t="n"/>
    </row>
    <row r="5" ht="26" customHeight="1">
      <c r="A5" s="9" t="inlineStr">
        <is>
          <t>王五</t>
        </is>
      </c>
      <c r="B5" s="9" t="inlineStr">
        <is>
          <t>核心系统 Core</t>
        </is>
      </c>
      <c r="C5" s="9" t="inlineStr">
        <is>
          <t>反洗钱 AML</t>
        </is>
      </c>
      <c r="D5" s="17">
        <f>COUNTIF('差异需求追踪主表 Gap Tracking'!$O$3:$O$60,$A5)</f>
        <v/>
      </c>
      <c r="E5" s="17">
        <f>COUNTIFS('差异需求追踪主表 Gap Tracking'!$O$3:$O$60,$A5,'差异需求追踪主表 Gap Tracking'!$R$3:$R$60,"已完成 Done")</f>
        <v/>
      </c>
      <c r="F5" s="18">
        <f>IFERROR(E5/D5,0)</f>
        <v/>
      </c>
      <c r="G5" s="17" t="n"/>
    </row>
    <row r="6" ht="26" customHeight="1">
      <c r="A6" s="12" t="inlineStr">
        <is>
          <t>赵六</t>
        </is>
      </c>
      <c r="B6" s="12" t="inlineStr">
        <is>
          <t>核心系统 Core</t>
        </is>
      </c>
      <c r="C6" s="12" t="inlineStr">
        <is>
          <t>贷款 Lending</t>
        </is>
      </c>
      <c r="D6" s="19">
        <f>COUNTIF('差异需求追踪主表 Gap Tracking'!$O$3:$O$60,$A6)</f>
        <v/>
      </c>
      <c r="E6" s="19">
        <f>COUNTIFS('差异需求追踪主表 Gap Tracking'!$O$3:$O$60,$A6,'差异需求追踪主表 Gap Tracking'!$R$3:$R$60,"已完成 Done")</f>
        <v/>
      </c>
      <c r="F6" s="20">
        <f>IFERROR(E6/D6,0)</f>
        <v/>
      </c>
      <c r="G6" s="19" t="n"/>
    </row>
    <row r="7" ht="24" customHeight="1">
      <c r="A7" s="9" t="n"/>
      <c r="B7" s="9" t="n"/>
      <c r="C7" s="9" t="n"/>
      <c r="D7" s="9" t="n"/>
      <c r="E7" s="9" t="n"/>
      <c r="F7" s="10" t="n"/>
      <c r="G7" s="9" t="n"/>
    </row>
    <row r="8" ht="24" customHeight="1">
      <c r="A8" s="12" t="n"/>
      <c r="B8" s="12" t="n"/>
      <c r="C8" s="12" t="n"/>
      <c r="D8" s="12" t="n"/>
      <c r="E8" s="12" t="n"/>
      <c r="F8" s="13" t="n"/>
      <c r="G8" s="12" t="n"/>
    </row>
    <row r="9" ht="24" customHeight="1">
      <c r="A9" s="9" t="n"/>
      <c r="B9" s="9" t="n"/>
      <c r="C9" s="9" t="n"/>
      <c r="D9" s="9" t="n"/>
      <c r="E9" s="9" t="n"/>
      <c r="F9" s="10" t="n"/>
      <c r="G9" s="9" t="n"/>
    </row>
    <row r="10" ht="24" customHeight="1">
      <c r="A10" s="12" t="n"/>
      <c r="B10" s="12" t="n"/>
      <c r="C10" s="12" t="n"/>
      <c r="D10" s="12" t="n"/>
      <c r="E10" s="12" t="n"/>
      <c r="F10" s="13" t="n"/>
      <c r="G10" s="12" t="n"/>
    </row>
    <row r="11" ht="24" customHeight="1">
      <c r="A11" s="9" t="n"/>
      <c r="B11" s="9" t="n"/>
      <c r="C11" s="9" t="n"/>
      <c r="D11" s="9" t="n"/>
      <c r="E11" s="9" t="n"/>
      <c r="F11" s="10" t="n"/>
      <c r="G11" s="9" t="n"/>
    </row>
    <row r="12" ht="24" customHeight="1">
      <c r="A12" s="12" t="n"/>
      <c r="B12" s="12" t="n"/>
      <c r="C12" s="12" t="n"/>
      <c r="D12" s="12" t="n"/>
      <c r="E12" s="12" t="n"/>
      <c r="F12" s="13" t="n"/>
      <c r="G12" s="12" t="n"/>
    </row>
    <row r="13" ht="24" customHeight="1">
      <c r="A13" s="9" t="n"/>
      <c r="B13" s="9" t="n"/>
      <c r="C13" s="9" t="n"/>
      <c r="D13" s="9" t="n"/>
      <c r="E13" s="9" t="n"/>
      <c r="F13" s="10" t="n"/>
      <c r="G13" s="9" t="n"/>
    </row>
    <row r="14" ht="24" customHeight="1">
      <c r="A14" s="12" t="n"/>
      <c r="B14" s="12" t="n"/>
      <c r="C14" s="12" t="n"/>
      <c r="D14" s="12" t="n"/>
      <c r="E14" s="12" t="n"/>
      <c r="F14" s="13" t="n"/>
      <c r="G14" s="12" t="n"/>
    </row>
    <row r="15" ht="24" customHeight="1">
      <c r="A15" s="9" t="n"/>
      <c r="B15" s="9" t="n"/>
      <c r="C15" s="9" t="n"/>
      <c r="D15" s="9" t="n"/>
      <c r="E15" s="9" t="n"/>
      <c r="F15" s="10" t="n"/>
      <c r="G15" s="9" t="n"/>
    </row>
    <row r="16" ht="26" customHeight="1">
      <c r="A16" s="21" t="inlineStr">
        <is>
          <t>合计 Total</t>
        </is>
      </c>
      <c r="B16" s="21" t="n"/>
      <c r="C16" s="21" t="n"/>
      <c r="D16" s="21">
        <f>SUM(D3:D15)</f>
        <v/>
      </c>
      <c r="E16" s="21">
        <f>SUM(E3:E15)</f>
        <v/>
      </c>
      <c r="F16" s="22">
        <f>IFERROR(E16/D16,0)</f>
        <v/>
      </c>
      <c r="G16" s="21" t="n"/>
    </row>
  </sheetData>
  <mergeCells count="1">
    <mergeCell ref="A1:G1"/>
  </mergeCells>
  <conditionalFormatting sqref="F3:F15">
    <cfRule type="dataBar" priority="1">
      <dataBar showValue="1">
        <cfvo type="num" val="0"/>
        <cfvo type="num" val="1"/>
        <color rgb="008B5CF6"/>
      </dataBar>
    </cfRule>
  </conditionalFormatting>
  <dataValidations count="2">
    <dataValidation sqref="B3:B15" showDropDown="0" showInputMessage="0" showErrorMessage="0" allowBlank="1" errorTitle="无效输入" error="请从下拉列表中选择" type="list">
      <formula1>"核心系统 Core,网银系统 e-Banking,公共 Common,接口/集成 Integration"</formula1>
    </dataValidation>
    <dataValidation sqref="C3:C15" showDropDown="0" showInputMessage="0" showErrorMessage="0" allowBlank="1" errorTitle="无效输入" error="请从下拉列表中选择" type="list">
      <formula1>"客户管理 Customer,存款 Deposit,贷款 Lending,支付清算 Payment,总账 GL,风控 Risk,反洗钱 AML,报表 Reports,渠道 Channel,用户权限 IAM,数据迁移 Migration,其他 Others"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2026-10-14T03:30:16Z</dcterms:created>
  <dcterms:modified xsi:type="dcterms:W3CDTF">2026-10-14T03:30:17Z</dcterms:modified>
</cp:coreProperties>
</file>